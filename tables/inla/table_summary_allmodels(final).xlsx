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1"/>
  <workbookPr dateCompatibility="0" defaultThemeVersion="202300"/>
  <mc:AlternateContent xmlns:mc="http://schemas.openxmlformats.org/markup-compatibility/2006">
    <mc:Choice Requires="x15">
      <x15ac:absPath xmlns:x15ac="http://schemas.microsoft.com/office/spreadsheetml/2010/11/ac" url="https://emailwsu-my.sharepoint.com/personal/katie_tseng_wsu_edu/Documents/Fernandez Lab/Projects (Active)/Chagas Network/GitHub/ChagasNetwork/tables/"/>
    </mc:Choice>
  </mc:AlternateContent>
  <xr:revisionPtr revIDLastSave="0" documentId="10_ncr:8_{52AD7A66-3F28-304E-BB5E-A729F006792B}" xr6:coauthVersionLast="47" xr6:coauthVersionMax="47" xr10:uidLastSave="{00000000-0000-0000-0000-000000000000}"/>
  <bookViews>
    <workbookView xWindow="10020" yWindow="500" windowWidth="20020" windowHeight="17500" firstSheet="1" activeTab="2" xr2:uid="{AEDA08EC-DEB5-6A47-A55D-4B1EE65B371B}"/>
  </bookViews>
  <sheets>
    <sheet name="(0) Table Variables" sheetId="5" r:id="rId1"/>
    <sheet name="table_summary_allmodels" sheetId="1" r:id="rId2"/>
    <sheet name="(1) Table - Interactions" sheetId="2" r:id="rId3"/>
    <sheet name="(2) Table Supp - Logodds" sheetId="3" r:id="rId4"/>
    <sheet name="(3) Table Supp - Odds" sheetId="4" r:id="rId5"/>
    <sheet name="Posterior uncertainty" sheetId="7" r:id="rId6"/>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AW5" i="2" l="1"/>
  <c r="AV5" i="2"/>
  <c r="AU5" i="2"/>
  <c r="AO5" i="2"/>
  <c r="AX7" i="2"/>
  <c r="AW6" i="2"/>
  <c r="AV6" i="2"/>
  <c r="AU6" i="2"/>
  <c r="AX6" i="2" s="1"/>
  <c r="N6" i="2"/>
  <c r="M22" i="2"/>
  <c r="L22" i="2"/>
  <c r="M23" i="2"/>
  <c r="L23" i="2"/>
  <c r="L24" i="2"/>
  <c r="L25" i="2"/>
  <c r="AK8" i="4"/>
  <c r="N7" i="2"/>
  <c r="N112" i="7"/>
  <c r="N110" i="7"/>
  <c r="M83" i="7"/>
  <c r="M82" i="7"/>
  <c r="M81" i="7"/>
  <c r="M80" i="7"/>
  <c r="M79" i="7"/>
  <c r="M78" i="7"/>
  <c r="M77" i="7"/>
  <c r="M76" i="7"/>
  <c r="M110" i="7"/>
  <c r="M109" i="7"/>
  <c r="M108" i="7"/>
  <c r="M107" i="7"/>
  <c r="M106" i="7"/>
  <c r="M105" i="7"/>
  <c r="M104" i="7"/>
  <c r="M103" i="7"/>
  <c r="N103" i="7"/>
  <c r="N95" i="7"/>
  <c r="N87" i="7"/>
  <c r="N104" i="7"/>
  <c r="N102" i="7"/>
  <c r="M102" i="7"/>
  <c r="N101" i="7"/>
  <c r="N109" i="7" s="1"/>
  <c r="M101" i="7"/>
  <c r="N100" i="7"/>
  <c r="N108" i="7" s="1"/>
  <c r="M100" i="7"/>
  <c r="N99" i="7"/>
  <c r="N107" i="7" s="1"/>
  <c r="M99" i="7"/>
  <c r="N98" i="7"/>
  <c r="N106" i="7" s="1"/>
  <c r="M98" i="7"/>
  <c r="N97" i="7"/>
  <c r="N105" i="7" s="1"/>
  <c r="M97" i="7"/>
  <c r="N96" i="7"/>
  <c r="M96" i="7"/>
  <c r="M95" i="7"/>
  <c r="N94" i="7"/>
  <c r="M94" i="7"/>
  <c r="N93" i="7"/>
  <c r="M93" i="7"/>
  <c r="N92" i="7"/>
  <c r="M92" i="7"/>
  <c r="N91" i="7"/>
  <c r="M91" i="7"/>
  <c r="N90" i="7"/>
  <c r="M90" i="7"/>
  <c r="N89" i="7"/>
  <c r="M89" i="7"/>
  <c r="N88" i="7"/>
  <c r="M88" i="7"/>
  <c r="M87" i="7"/>
  <c r="N85" i="7"/>
  <c r="N58" i="7"/>
  <c r="N18" i="7"/>
  <c r="N76" i="7"/>
  <c r="N70" i="7"/>
  <c r="N60" i="7"/>
  <c r="N82" i="7"/>
  <c r="N80" i="7"/>
  <c r="N75" i="7"/>
  <c r="N83" i="7" s="1"/>
  <c r="M75" i="7"/>
  <c r="N74" i="7"/>
  <c r="M74" i="7"/>
  <c r="N73" i="7"/>
  <c r="N81" i="7" s="1"/>
  <c r="M73" i="7"/>
  <c r="N72" i="7"/>
  <c r="M72" i="7"/>
  <c r="N71" i="7"/>
  <c r="N79" i="7" s="1"/>
  <c r="M71" i="7"/>
  <c r="N78" i="7"/>
  <c r="M70" i="7"/>
  <c r="N69" i="7"/>
  <c r="N77" i="7" s="1"/>
  <c r="M69" i="7"/>
  <c r="N68" i="7"/>
  <c r="M68" i="7"/>
  <c r="N67" i="7"/>
  <c r="M67" i="7"/>
  <c r="N66" i="7"/>
  <c r="M66" i="7"/>
  <c r="N65" i="7"/>
  <c r="M65" i="7"/>
  <c r="N64" i="7"/>
  <c r="M64" i="7"/>
  <c r="N63" i="7"/>
  <c r="M63" i="7"/>
  <c r="N62" i="7"/>
  <c r="M62" i="7"/>
  <c r="N61" i="7"/>
  <c r="M61" i="7"/>
  <c r="M60" i="7"/>
  <c r="M56" i="7"/>
  <c r="M55" i="7"/>
  <c r="N54" i="7"/>
  <c r="N53" i="7"/>
  <c r="M16" i="7"/>
  <c r="M15" i="7"/>
  <c r="M14" i="7"/>
  <c r="M13" i="7"/>
  <c r="M12" i="7"/>
  <c r="M7" i="7"/>
  <c r="N48" i="7"/>
  <c r="N56" i="7" s="1"/>
  <c r="N47" i="7"/>
  <c r="N55" i="7" s="1"/>
  <c r="N46" i="7"/>
  <c r="N45" i="7"/>
  <c r="N44" i="7"/>
  <c r="N52" i="7" s="1"/>
  <c r="N43" i="7"/>
  <c r="N51" i="7" s="1"/>
  <c r="N42" i="7"/>
  <c r="N50" i="7" s="1"/>
  <c r="N41" i="7"/>
  <c r="N49" i="7" s="1"/>
  <c r="N40" i="7"/>
  <c r="N39" i="7"/>
  <c r="N38" i="7"/>
  <c r="N37" i="7"/>
  <c r="N36" i="7"/>
  <c r="N35" i="7"/>
  <c r="N34" i="7"/>
  <c r="N33" i="7"/>
  <c r="M54" i="7"/>
  <c r="M53" i="7"/>
  <c r="M52" i="7"/>
  <c r="M51" i="7"/>
  <c r="M50" i="7"/>
  <c r="M49" i="7"/>
  <c r="M48" i="7"/>
  <c r="M47" i="7"/>
  <c r="M46" i="7"/>
  <c r="M45" i="7"/>
  <c r="M44" i="7"/>
  <c r="M43" i="7"/>
  <c r="M42" i="7"/>
  <c r="M41" i="7"/>
  <c r="M40" i="7"/>
  <c r="M39" i="7"/>
  <c r="M38" i="7"/>
  <c r="M37" i="7"/>
  <c r="M36" i="7"/>
  <c r="M35" i="7"/>
  <c r="M34" i="7"/>
  <c r="M33" i="7"/>
  <c r="N2" i="7"/>
  <c r="M41" i="4"/>
  <c r="V41" i="4" s="1"/>
  <c r="AK43" i="4" s="1"/>
  <c r="AB43" i="3"/>
  <c r="N72" i="2"/>
  <c r="N73" i="2"/>
  <c r="AB40" i="3"/>
  <c r="AM36" i="4"/>
  <c r="AM35" i="4"/>
  <c r="AM39" i="4"/>
  <c r="K51" i="4"/>
  <c r="K50" i="4"/>
  <c r="K36" i="4"/>
  <c r="K39" i="4"/>
  <c r="K37" i="4"/>
  <c r="T37" i="4" s="1"/>
  <c r="K26" i="4"/>
  <c r="T26" i="4" s="1"/>
  <c r="L26" i="4"/>
  <c r="M26" i="4"/>
  <c r="N26" i="4"/>
  <c r="O26" i="4"/>
  <c r="P26" i="4"/>
  <c r="Y26" i="4" s="1"/>
  <c r="Q26" i="4"/>
  <c r="T27" i="4" s="1"/>
  <c r="AP14" i="4" s="1"/>
  <c r="N33" i="2"/>
  <c r="N60" i="2"/>
  <c r="N87" i="2"/>
  <c r="K57" i="2"/>
  <c r="K55" i="2"/>
  <c r="K68" i="3"/>
  <c r="AD45" i="3" s="1"/>
  <c r="K42" i="3"/>
  <c r="AB45" i="3" s="1"/>
  <c r="K19" i="3"/>
  <c r="AG12" i="3" s="1"/>
  <c r="K15" i="3"/>
  <c r="AC11" i="3" s="1"/>
  <c r="K10" i="3"/>
  <c r="AB11" i="3" s="1"/>
  <c r="Q22" i="4"/>
  <c r="T23" i="4" s="1"/>
  <c r="AO14" i="4" s="1"/>
  <c r="Q18" i="4"/>
  <c r="T19" i="4" s="1"/>
  <c r="AN14" i="4" s="1"/>
  <c r="Q14" i="4"/>
  <c r="T15" i="4" s="1"/>
  <c r="AL11" i="4" s="1"/>
  <c r="Q13" i="4"/>
  <c r="Q9" i="4"/>
  <c r="T10" i="4" s="1"/>
  <c r="AK11" i="4" s="1"/>
  <c r="Q8" i="4"/>
  <c r="Q7" i="4"/>
  <c r="Q6" i="4"/>
  <c r="Q5" i="4"/>
  <c r="Q4" i="4"/>
  <c r="Q3" i="4"/>
  <c r="Q41" i="4"/>
  <c r="T42" i="4" s="1"/>
  <c r="AK45" i="4" s="1"/>
  <c r="Q40" i="4"/>
  <c r="Q39" i="4"/>
  <c r="Q38" i="4"/>
  <c r="Q37" i="4"/>
  <c r="Q36" i="4"/>
  <c r="Q35" i="4"/>
  <c r="Q34" i="4"/>
  <c r="Q33" i="4"/>
  <c r="Q32" i="4"/>
  <c r="Q54" i="4"/>
  <c r="T55" i="4" s="1"/>
  <c r="AL45" i="4" s="1"/>
  <c r="Q53" i="4"/>
  <c r="Q52" i="4"/>
  <c r="Q51" i="4"/>
  <c r="Q50" i="4"/>
  <c r="Q49" i="4"/>
  <c r="Q48" i="4"/>
  <c r="Q47" i="4"/>
  <c r="Q46" i="4"/>
  <c r="Q45" i="4"/>
  <c r="Q67" i="4"/>
  <c r="T68" i="4" s="1"/>
  <c r="AM45" i="4" s="1"/>
  <c r="Q66" i="4"/>
  <c r="Q65" i="4"/>
  <c r="Q64" i="4"/>
  <c r="Q63" i="4"/>
  <c r="Q62" i="4"/>
  <c r="Q61" i="4"/>
  <c r="Q60" i="4"/>
  <c r="Q59" i="4"/>
  <c r="Q58" i="4"/>
  <c r="K32" i="3"/>
  <c r="P97" i="2"/>
  <c r="V97" i="2" s="1"/>
  <c r="O97" i="2"/>
  <c r="U97" i="2" s="1"/>
  <c r="N97" i="2"/>
  <c r="T97" i="2" s="1"/>
  <c r="P96" i="2"/>
  <c r="V96" i="2" s="1"/>
  <c r="O96" i="2"/>
  <c r="U96" i="2" s="1"/>
  <c r="N96" i="2"/>
  <c r="T96" i="2" s="1"/>
  <c r="P73" i="2"/>
  <c r="V73" i="2" s="1"/>
  <c r="O73" i="2"/>
  <c r="U73" i="2" s="1"/>
  <c r="T73" i="2"/>
  <c r="P72" i="2"/>
  <c r="V72" i="2" s="1"/>
  <c r="O72" i="2"/>
  <c r="T72" i="2"/>
  <c r="P43" i="2"/>
  <c r="V43" i="2" s="1"/>
  <c r="P42" i="2"/>
  <c r="V42" i="2" s="1"/>
  <c r="O43" i="2"/>
  <c r="U43" i="2" s="1"/>
  <c r="O42" i="2"/>
  <c r="N43" i="2"/>
  <c r="N42" i="2"/>
  <c r="T42" i="2" s="1"/>
  <c r="N11" i="7"/>
  <c r="N10" i="7"/>
  <c r="N9" i="7"/>
  <c r="N14" i="7" s="1"/>
  <c r="N8" i="7"/>
  <c r="N7" i="7"/>
  <c r="N12" i="7" s="1"/>
  <c r="M11" i="7"/>
  <c r="M10" i="7"/>
  <c r="M9" i="7"/>
  <c r="M8" i="7"/>
  <c r="M6" i="7"/>
  <c r="M5" i="7"/>
  <c r="M4" i="7"/>
  <c r="M3" i="7"/>
  <c r="M2" i="7"/>
  <c r="N6" i="7"/>
  <c r="N16" i="7" s="1"/>
  <c r="N3" i="7"/>
  <c r="N13" i="7" s="1"/>
  <c r="N4" i="7"/>
  <c r="N5" i="7"/>
  <c r="P67" i="4"/>
  <c r="Y67" i="4" s="1"/>
  <c r="O67" i="4"/>
  <c r="X67" i="4" s="1"/>
  <c r="N67" i="4"/>
  <c r="W67" i="4" s="1"/>
  <c r="M67" i="4"/>
  <c r="V67" i="4" s="1"/>
  <c r="L67" i="4"/>
  <c r="U67" i="4" s="1"/>
  <c r="K67" i="4"/>
  <c r="T67" i="4" s="1"/>
  <c r="P54" i="4"/>
  <c r="Y54" i="4" s="1"/>
  <c r="O54" i="4"/>
  <c r="X54" i="4" s="1"/>
  <c r="N54" i="4"/>
  <c r="M54" i="4"/>
  <c r="L54" i="4"/>
  <c r="U54" i="4" s="1"/>
  <c r="K54" i="4"/>
  <c r="T54" i="4" s="1"/>
  <c r="P41" i="4"/>
  <c r="Y41" i="4" s="1"/>
  <c r="O41" i="4"/>
  <c r="X41" i="4" s="1"/>
  <c r="N41" i="4"/>
  <c r="W41" i="4" s="1"/>
  <c r="L41" i="4"/>
  <c r="U41" i="4" s="1"/>
  <c r="K41" i="4"/>
  <c r="T41" i="4" s="1"/>
  <c r="M9" i="4"/>
  <c r="V9" i="4" s="1"/>
  <c r="P9" i="4"/>
  <c r="Y9" i="4" s="1"/>
  <c r="O9" i="4"/>
  <c r="X9" i="4" s="1"/>
  <c r="N9" i="4"/>
  <c r="W9" i="4" s="1"/>
  <c r="L9" i="4"/>
  <c r="U9" i="4" s="1"/>
  <c r="K9" i="4"/>
  <c r="T9" i="4" s="1"/>
  <c r="W98" i="2"/>
  <c r="AA97" i="2" s="1"/>
  <c r="W104" i="2"/>
  <c r="AA105" i="2" s="1"/>
  <c r="Q104" i="2"/>
  <c r="Q98" i="2"/>
  <c r="W80" i="2"/>
  <c r="AA81" i="2" s="1"/>
  <c r="Q80" i="2"/>
  <c r="W74" i="2"/>
  <c r="AA73" i="2" s="1"/>
  <c r="Q74" i="2"/>
  <c r="U72" i="2"/>
  <c r="W50" i="2"/>
  <c r="AA51" i="2" s="1"/>
  <c r="Q50" i="2"/>
  <c r="W14" i="2"/>
  <c r="AA15" i="2" s="1"/>
  <c r="Q14" i="2"/>
  <c r="W44" i="2"/>
  <c r="AA43" i="2" s="1"/>
  <c r="Q44" i="2"/>
  <c r="W8" i="2"/>
  <c r="AA7" i="2" s="1"/>
  <c r="Q8" i="2"/>
  <c r="P7" i="2"/>
  <c r="V7" i="2" s="1"/>
  <c r="O7" i="2"/>
  <c r="U7" i="2" s="1"/>
  <c r="T7" i="2"/>
  <c r="P6" i="2"/>
  <c r="V6" i="2" s="1"/>
  <c r="O6" i="2"/>
  <c r="U6" i="2" s="1"/>
  <c r="T6" i="2"/>
  <c r="K59" i="3"/>
  <c r="L59" i="3"/>
  <c r="M59" i="3"/>
  <c r="N59" i="3"/>
  <c r="O59" i="3"/>
  <c r="P59" i="3"/>
  <c r="K60" i="3"/>
  <c r="L60" i="3"/>
  <c r="M60" i="3"/>
  <c r="N60" i="3"/>
  <c r="O60" i="3"/>
  <c r="P60" i="3"/>
  <c r="K61" i="3"/>
  <c r="L61" i="3"/>
  <c r="M61" i="3"/>
  <c r="N61" i="3"/>
  <c r="O61" i="3"/>
  <c r="P61" i="3"/>
  <c r="K62" i="3"/>
  <c r="L62" i="3"/>
  <c r="M62" i="3"/>
  <c r="N62" i="3"/>
  <c r="O62" i="3"/>
  <c r="P62" i="3"/>
  <c r="K63" i="3"/>
  <c r="L63" i="3"/>
  <c r="M63" i="3"/>
  <c r="N63" i="3"/>
  <c r="O63" i="3"/>
  <c r="P63" i="3"/>
  <c r="K64" i="3"/>
  <c r="L64" i="3"/>
  <c r="M64" i="3"/>
  <c r="N64" i="3"/>
  <c r="O64" i="3"/>
  <c r="P64" i="3"/>
  <c r="K65" i="3"/>
  <c r="L65" i="3"/>
  <c r="M65" i="3"/>
  <c r="N65" i="3"/>
  <c r="O65" i="3"/>
  <c r="P65" i="3"/>
  <c r="K66" i="3"/>
  <c r="L66" i="3"/>
  <c r="M66" i="3"/>
  <c r="N66" i="3"/>
  <c r="O66" i="3"/>
  <c r="P66" i="3"/>
  <c r="K67" i="3"/>
  <c r="L67" i="3"/>
  <c r="M67" i="3"/>
  <c r="N67" i="3"/>
  <c r="O67" i="3"/>
  <c r="P67" i="3"/>
  <c r="P58" i="3"/>
  <c r="O58" i="3"/>
  <c r="N58" i="3"/>
  <c r="M58" i="3"/>
  <c r="L58" i="3"/>
  <c r="K58" i="3"/>
  <c r="K46" i="3"/>
  <c r="L46" i="3"/>
  <c r="M46" i="3"/>
  <c r="N46" i="3"/>
  <c r="O46" i="3"/>
  <c r="P46" i="3"/>
  <c r="K47" i="3"/>
  <c r="L47" i="3"/>
  <c r="M47" i="3"/>
  <c r="N47" i="3"/>
  <c r="O47" i="3"/>
  <c r="P47" i="3"/>
  <c r="K48" i="3"/>
  <c r="L48" i="3"/>
  <c r="M48" i="3"/>
  <c r="N48" i="3"/>
  <c r="O48" i="3"/>
  <c r="P48" i="3"/>
  <c r="K49" i="3"/>
  <c r="L49" i="3"/>
  <c r="M49" i="3"/>
  <c r="N49" i="3"/>
  <c r="O49" i="3"/>
  <c r="P49" i="3"/>
  <c r="K50" i="3"/>
  <c r="L50" i="3"/>
  <c r="M50" i="3"/>
  <c r="N50" i="3"/>
  <c r="O50" i="3"/>
  <c r="P50" i="3"/>
  <c r="K51" i="3"/>
  <c r="L51" i="3"/>
  <c r="M51" i="3"/>
  <c r="N51" i="3"/>
  <c r="O51" i="3"/>
  <c r="P51" i="3"/>
  <c r="K52" i="3"/>
  <c r="L52" i="3"/>
  <c r="M52" i="3"/>
  <c r="N52" i="3"/>
  <c r="O52" i="3"/>
  <c r="P52" i="3"/>
  <c r="K53" i="3"/>
  <c r="L53" i="3"/>
  <c r="M53" i="3"/>
  <c r="N53" i="3"/>
  <c r="O53" i="3"/>
  <c r="P53" i="3"/>
  <c r="K54" i="3"/>
  <c r="L54" i="3"/>
  <c r="M54" i="3"/>
  <c r="N54" i="3"/>
  <c r="O54" i="3"/>
  <c r="P54" i="3"/>
  <c r="P45" i="3"/>
  <c r="O45" i="3"/>
  <c r="N45" i="3"/>
  <c r="M45" i="3"/>
  <c r="L45" i="3"/>
  <c r="K45" i="3"/>
  <c r="K33" i="3"/>
  <c r="L33" i="3"/>
  <c r="M33" i="3"/>
  <c r="N33" i="3"/>
  <c r="O33" i="3"/>
  <c r="P33" i="3"/>
  <c r="K34" i="3"/>
  <c r="L34" i="3"/>
  <c r="M34" i="3"/>
  <c r="N34" i="3"/>
  <c r="O34" i="3"/>
  <c r="P34" i="3"/>
  <c r="K35" i="3"/>
  <c r="L35" i="3"/>
  <c r="M35" i="3"/>
  <c r="N35" i="3"/>
  <c r="O35" i="3"/>
  <c r="P35" i="3"/>
  <c r="K36" i="3"/>
  <c r="L36" i="3"/>
  <c r="M36" i="3"/>
  <c r="N36" i="3"/>
  <c r="O36" i="3"/>
  <c r="P36" i="3"/>
  <c r="K37" i="3"/>
  <c r="L37" i="3"/>
  <c r="M37" i="3"/>
  <c r="N37" i="3"/>
  <c r="O37" i="3"/>
  <c r="P37" i="3"/>
  <c r="K38" i="3"/>
  <c r="L38" i="3"/>
  <c r="M38" i="3"/>
  <c r="N38" i="3"/>
  <c r="O38" i="3"/>
  <c r="P38" i="3"/>
  <c r="K39" i="3"/>
  <c r="L39" i="3"/>
  <c r="M39" i="3"/>
  <c r="N39" i="3"/>
  <c r="O39" i="3"/>
  <c r="P39" i="3"/>
  <c r="K40" i="3"/>
  <c r="L40" i="3"/>
  <c r="M40" i="3"/>
  <c r="N40" i="3"/>
  <c r="O40" i="3"/>
  <c r="P40" i="3"/>
  <c r="K41" i="3"/>
  <c r="L41" i="3"/>
  <c r="M41" i="3"/>
  <c r="N41" i="3"/>
  <c r="O41" i="3"/>
  <c r="P41" i="3"/>
  <c r="P32" i="3"/>
  <c r="O32" i="3"/>
  <c r="N32" i="3"/>
  <c r="M32" i="3"/>
  <c r="L32" i="3"/>
  <c r="P26" i="3"/>
  <c r="O26" i="3"/>
  <c r="N26" i="3"/>
  <c r="M26" i="3"/>
  <c r="L26" i="3"/>
  <c r="K26" i="3"/>
  <c r="P22" i="3"/>
  <c r="O22" i="3"/>
  <c r="N22" i="3"/>
  <c r="M22" i="3"/>
  <c r="L22" i="3"/>
  <c r="K22" i="3"/>
  <c r="P18" i="3"/>
  <c r="O18" i="3"/>
  <c r="N18" i="3"/>
  <c r="M18" i="3"/>
  <c r="L18" i="3"/>
  <c r="K18" i="3"/>
  <c r="K14" i="3"/>
  <c r="L14" i="3"/>
  <c r="M14" i="3"/>
  <c r="N14" i="3"/>
  <c r="O14" i="3"/>
  <c r="P14" i="3"/>
  <c r="P13" i="3"/>
  <c r="O13" i="3"/>
  <c r="N13" i="3"/>
  <c r="M13" i="3"/>
  <c r="L13" i="3"/>
  <c r="K13" i="3"/>
  <c r="K4" i="3"/>
  <c r="L4" i="3"/>
  <c r="M4" i="3"/>
  <c r="N4" i="3"/>
  <c r="O4" i="3"/>
  <c r="P4" i="3"/>
  <c r="K5" i="3"/>
  <c r="L5" i="3"/>
  <c r="M5" i="3"/>
  <c r="N5" i="3"/>
  <c r="O5" i="3"/>
  <c r="P5" i="3"/>
  <c r="K6" i="3"/>
  <c r="L6" i="3"/>
  <c r="M6" i="3"/>
  <c r="N6" i="3"/>
  <c r="O6" i="3"/>
  <c r="P6" i="3"/>
  <c r="K7" i="3"/>
  <c r="L7" i="3"/>
  <c r="M7" i="3"/>
  <c r="N7" i="3"/>
  <c r="O7" i="3"/>
  <c r="P7" i="3"/>
  <c r="K8" i="3"/>
  <c r="L8" i="3"/>
  <c r="M8" i="3"/>
  <c r="N8" i="3"/>
  <c r="O8" i="3"/>
  <c r="P8" i="3"/>
  <c r="K9" i="3"/>
  <c r="L9" i="3"/>
  <c r="M9" i="3"/>
  <c r="N9" i="3"/>
  <c r="O9" i="3"/>
  <c r="P9" i="3"/>
  <c r="K55" i="3"/>
  <c r="AC45" i="3" s="1"/>
  <c r="K27" i="3"/>
  <c r="AI12" i="3" s="1"/>
  <c r="K23" i="3"/>
  <c r="AH12" i="3" s="1"/>
  <c r="P3" i="3"/>
  <c r="Y66" i="4"/>
  <c r="X66" i="4"/>
  <c r="W66" i="4"/>
  <c r="V66" i="4"/>
  <c r="U66" i="4"/>
  <c r="T66" i="4"/>
  <c r="P65" i="4"/>
  <c r="Y65" i="4" s="1"/>
  <c r="O65" i="4"/>
  <c r="X65" i="4" s="1"/>
  <c r="N65" i="4"/>
  <c r="W65" i="4" s="1"/>
  <c r="M65" i="4"/>
  <c r="V65" i="4" s="1"/>
  <c r="AM42" i="4" s="1"/>
  <c r="L65" i="4"/>
  <c r="U65" i="4" s="1"/>
  <c r="K65" i="4"/>
  <c r="T65" i="4" s="1"/>
  <c r="P64" i="4"/>
  <c r="Y64" i="4" s="1"/>
  <c r="O64" i="4"/>
  <c r="X64" i="4" s="1"/>
  <c r="N64" i="4"/>
  <c r="W64" i="4" s="1"/>
  <c r="M64" i="4"/>
  <c r="V64" i="4" s="1"/>
  <c r="L64" i="4"/>
  <c r="U64" i="4" s="1"/>
  <c r="K64" i="4"/>
  <c r="T64" i="4" s="1"/>
  <c r="P63" i="4"/>
  <c r="Y63" i="4" s="1"/>
  <c r="O63" i="4"/>
  <c r="X63" i="4" s="1"/>
  <c r="N63" i="4"/>
  <c r="W63" i="4" s="1"/>
  <c r="M63" i="4"/>
  <c r="V63" i="4" s="1"/>
  <c r="AM37" i="4" s="1"/>
  <c r="L63" i="4"/>
  <c r="U63" i="4" s="1"/>
  <c r="K63" i="4"/>
  <c r="T63" i="4" s="1"/>
  <c r="P62" i="4"/>
  <c r="Y62" i="4" s="1"/>
  <c r="O62" i="4"/>
  <c r="X62" i="4" s="1"/>
  <c r="N62" i="4"/>
  <c r="W62" i="4" s="1"/>
  <c r="M62" i="4"/>
  <c r="V62" i="4" s="1"/>
  <c r="L62" i="4"/>
  <c r="U62" i="4" s="1"/>
  <c r="K62" i="4"/>
  <c r="T62" i="4" s="1"/>
  <c r="P61" i="4"/>
  <c r="Y61" i="4" s="1"/>
  <c r="O61" i="4"/>
  <c r="X61" i="4" s="1"/>
  <c r="N61" i="4"/>
  <c r="W61" i="4" s="1"/>
  <c r="M61" i="4"/>
  <c r="V61" i="4" s="1"/>
  <c r="L61" i="4"/>
  <c r="U61" i="4" s="1"/>
  <c r="K61" i="4"/>
  <c r="T61" i="4" s="1"/>
  <c r="P60" i="4"/>
  <c r="Y60" i="4" s="1"/>
  <c r="O60" i="4"/>
  <c r="X60" i="4" s="1"/>
  <c r="N60" i="4"/>
  <c r="W60" i="4" s="1"/>
  <c r="M60" i="4"/>
  <c r="V60" i="4" s="1"/>
  <c r="L60" i="4"/>
  <c r="U60" i="4" s="1"/>
  <c r="K60" i="4"/>
  <c r="T60" i="4" s="1"/>
  <c r="P59" i="4"/>
  <c r="Y59" i="4" s="1"/>
  <c r="O59" i="4"/>
  <c r="X59" i="4" s="1"/>
  <c r="N59" i="4"/>
  <c r="W59" i="4" s="1"/>
  <c r="M59" i="4"/>
  <c r="V59" i="4" s="1"/>
  <c r="L59" i="4"/>
  <c r="U59" i="4" s="1"/>
  <c r="K59" i="4"/>
  <c r="T59" i="4" s="1"/>
  <c r="P58" i="4"/>
  <c r="Y58" i="4" s="1"/>
  <c r="O58" i="4"/>
  <c r="X58" i="4" s="1"/>
  <c r="N58" i="4"/>
  <c r="W58" i="4" s="1"/>
  <c r="M58" i="4"/>
  <c r="V58" i="4" s="1"/>
  <c r="L58" i="4"/>
  <c r="U58" i="4" s="1"/>
  <c r="K58" i="4"/>
  <c r="T58" i="4" s="1"/>
  <c r="W54" i="4"/>
  <c r="V54" i="4"/>
  <c r="Y53" i="4"/>
  <c r="X53" i="4"/>
  <c r="W53" i="4"/>
  <c r="V53" i="4"/>
  <c r="U53" i="4"/>
  <c r="T53" i="4"/>
  <c r="P52" i="4"/>
  <c r="Y52" i="4" s="1"/>
  <c r="O52" i="4"/>
  <c r="X52" i="4" s="1"/>
  <c r="N52" i="4"/>
  <c r="W52" i="4" s="1"/>
  <c r="M52" i="4"/>
  <c r="V52" i="4" s="1"/>
  <c r="AL41" i="4" s="1"/>
  <c r="L52" i="4"/>
  <c r="U52" i="4" s="1"/>
  <c r="K52" i="4"/>
  <c r="T52" i="4" s="1"/>
  <c r="P51" i="4"/>
  <c r="Y51" i="4" s="1"/>
  <c r="O51" i="4"/>
  <c r="X51" i="4" s="1"/>
  <c r="N51" i="4"/>
  <c r="W51" i="4" s="1"/>
  <c r="M51" i="4"/>
  <c r="V51" i="4" s="1"/>
  <c r="AL39" i="4" s="1"/>
  <c r="L51" i="4"/>
  <c r="U51" i="4" s="1"/>
  <c r="T51" i="4"/>
  <c r="P50" i="4"/>
  <c r="Y50" i="4" s="1"/>
  <c r="O50" i="4"/>
  <c r="X50" i="4" s="1"/>
  <c r="N50" i="4"/>
  <c r="W50" i="4" s="1"/>
  <c r="M50" i="4"/>
  <c r="V50" i="4" s="1"/>
  <c r="L50" i="4"/>
  <c r="U50" i="4" s="1"/>
  <c r="T50" i="4"/>
  <c r="P49" i="4"/>
  <c r="Y49" i="4" s="1"/>
  <c r="O49" i="4"/>
  <c r="X49" i="4" s="1"/>
  <c r="N49" i="4"/>
  <c r="W49" i="4" s="1"/>
  <c r="M49" i="4"/>
  <c r="V49" i="4" s="1"/>
  <c r="L49" i="4"/>
  <c r="U49" i="4" s="1"/>
  <c r="K49" i="4"/>
  <c r="T49" i="4" s="1"/>
  <c r="P48" i="4"/>
  <c r="Y48" i="4" s="1"/>
  <c r="O48" i="4"/>
  <c r="X48" i="4" s="1"/>
  <c r="N48" i="4"/>
  <c r="W48" i="4" s="1"/>
  <c r="M48" i="4"/>
  <c r="V48" i="4" s="1"/>
  <c r="L48" i="4"/>
  <c r="U48" i="4" s="1"/>
  <c r="K48" i="4"/>
  <c r="T48" i="4" s="1"/>
  <c r="P47" i="4"/>
  <c r="Y47" i="4" s="1"/>
  <c r="O47" i="4"/>
  <c r="X47" i="4" s="1"/>
  <c r="N47" i="4"/>
  <c r="W47" i="4" s="1"/>
  <c r="M47" i="4"/>
  <c r="V47" i="4" s="1"/>
  <c r="L47" i="4"/>
  <c r="U47" i="4" s="1"/>
  <c r="K47" i="4"/>
  <c r="T47" i="4" s="1"/>
  <c r="P46" i="4"/>
  <c r="Y46" i="4" s="1"/>
  <c r="O46" i="4"/>
  <c r="X46" i="4" s="1"/>
  <c r="N46" i="4"/>
  <c r="W46" i="4" s="1"/>
  <c r="M46" i="4"/>
  <c r="V46" i="4" s="1"/>
  <c r="L46" i="4"/>
  <c r="U46" i="4" s="1"/>
  <c r="K46" i="4"/>
  <c r="T46" i="4" s="1"/>
  <c r="P45" i="4"/>
  <c r="Y45" i="4" s="1"/>
  <c r="O45" i="4"/>
  <c r="X45" i="4" s="1"/>
  <c r="N45" i="4"/>
  <c r="W45" i="4" s="1"/>
  <c r="M45" i="4"/>
  <c r="V45" i="4" s="1"/>
  <c r="L45" i="4"/>
  <c r="U45" i="4" s="1"/>
  <c r="K45" i="4"/>
  <c r="T45" i="4" s="1"/>
  <c r="Y40" i="4"/>
  <c r="X40" i="4"/>
  <c r="W40" i="4"/>
  <c r="V40" i="4"/>
  <c r="U40" i="4"/>
  <c r="T40" i="4"/>
  <c r="P39" i="4"/>
  <c r="Y39" i="4" s="1"/>
  <c r="O39" i="4"/>
  <c r="X39" i="4" s="1"/>
  <c r="N39" i="4"/>
  <c r="W39" i="4" s="1"/>
  <c r="M39" i="4"/>
  <c r="V39" i="4" s="1"/>
  <c r="AK40" i="4" s="1"/>
  <c r="L39" i="4"/>
  <c r="U39" i="4" s="1"/>
  <c r="T39" i="4"/>
  <c r="P38" i="4"/>
  <c r="Y38" i="4" s="1"/>
  <c r="O38" i="4"/>
  <c r="X38" i="4" s="1"/>
  <c r="N38" i="4"/>
  <c r="W38" i="4" s="1"/>
  <c r="M38" i="4"/>
  <c r="V38" i="4" s="1"/>
  <c r="AK38" i="4" s="1"/>
  <c r="L38" i="4"/>
  <c r="U38" i="4" s="1"/>
  <c r="K38" i="4"/>
  <c r="T38" i="4" s="1"/>
  <c r="P37" i="4"/>
  <c r="Y37" i="4" s="1"/>
  <c r="O37" i="4"/>
  <c r="X37" i="4" s="1"/>
  <c r="N37" i="4"/>
  <c r="W37" i="4" s="1"/>
  <c r="M37" i="4"/>
  <c r="V37" i="4" s="1"/>
  <c r="AK37" i="4" s="1"/>
  <c r="L37" i="4"/>
  <c r="U37" i="4" s="1"/>
  <c r="P36" i="4"/>
  <c r="Y36" i="4" s="1"/>
  <c r="O36" i="4"/>
  <c r="X36" i="4" s="1"/>
  <c r="N36" i="4"/>
  <c r="W36" i="4" s="1"/>
  <c r="M36" i="4"/>
  <c r="V36" i="4" s="1"/>
  <c r="L36" i="4"/>
  <c r="U36" i="4" s="1"/>
  <c r="T36" i="4"/>
  <c r="P35" i="4"/>
  <c r="Y35" i="4" s="1"/>
  <c r="O35" i="4"/>
  <c r="X35" i="4" s="1"/>
  <c r="N35" i="4"/>
  <c r="W35" i="4" s="1"/>
  <c r="M35" i="4"/>
  <c r="V35" i="4" s="1"/>
  <c r="L35" i="4"/>
  <c r="U35" i="4" s="1"/>
  <c r="K35" i="4"/>
  <c r="T35" i="4" s="1"/>
  <c r="P34" i="4"/>
  <c r="Y34" i="4" s="1"/>
  <c r="O34" i="4"/>
  <c r="X34" i="4" s="1"/>
  <c r="N34" i="4"/>
  <c r="W34" i="4" s="1"/>
  <c r="M34" i="4"/>
  <c r="V34" i="4" s="1"/>
  <c r="L34" i="4"/>
  <c r="U34" i="4" s="1"/>
  <c r="K34" i="4"/>
  <c r="T34" i="4" s="1"/>
  <c r="P33" i="4"/>
  <c r="Y33" i="4" s="1"/>
  <c r="O33" i="4"/>
  <c r="X33" i="4" s="1"/>
  <c r="N33" i="4"/>
  <c r="W33" i="4" s="1"/>
  <c r="M33" i="4"/>
  <c r="V33" i="4" s="1"/>
  <c r="L33" i="4"/>
  <c r="U33" i="4" s="1"/>
  <c r="K33" i="4"/>
  <c r="T33" i="4" s="1"/>
  <c r="P32" i="4"/>
  <c r="Y32" i="4" s="1"/>
  <c r="O32" i="4"/>
  <c r="X32" i="4" s="1"/>
  <c r="N32" i="4"/>
  <c r="W32" i="4" s="1"/>
  <c r="M32" i="4"/>
  <c r="V32" i="4" s="1"/>
  <c r="L32" i="4"/>
  <c r="U32" i="4" s="1"/>
  <c r="K32" i="4"/>
  <c r="T32" i="4" s="1"/>
  <c r="X26" i="4"/>
  <c r="W26" i="4"/>
  <c r="V26" i="4"/>
  <c r="U26" i="4"/>
  <c r="P22" i="4"/>
  <c r="Y22" i="4" s="1"/>
  <c r="O22" i="4"/>
  <c r="X22" i="4" s="1"/>
  <c r="N22" i="4"/>
  <c r="W22" i="4" s="1"/>
  <c r="M22" i="4"/>
  <c r="V22" i="4" s="1"/>
  <c r="L22" i="4"/>
  <c r="U22" i="4" s="1"/>
  <c r="K22" i="4"/>
  <c r="T22" i="4" s="1"/>
  <c r="P18" i="4"/>
  <c r="Y18" i="4" s="1"/>
  <c r="O18" i="4"/>
  <c r="X18" i="4" s="1"/>
  <c r="N18" i="4"/>
  <c r="W18" i="4" s="1"/>
  <c r="M18" i="4"/>
  <c r="V18" i="4" s="1"/>
  <c r="L18" i="4"/>
  <c r="U18" i="4" s="1"/>
  <c r="K18" i="4"/>
  <c r="T18" i="4" s="1"/>
  <c r="P14" i="4"/>
  <c r="Y14" i="4" s="1"/>
  <c r="O14" i="4"/>
  <c r="X14" i="4" s="1"/>
  <c r="N14" i="4"/>
  <c r="W14" i="4" s="1"/>
  <c r="M14" i="4"/>
  <c r="V14" i="4" s="1"/>
  <c r="L14" i="4"/>
  <c r="U14" i="4" s="1"/>
  <c r="K14" i="4"/>
  <c r="T14" i="4" s="1"/>
  <c r="P13" i="4"/>
  <c r="Y13" i="4" s="1"/>
  <c r="O13" i="4"/>
  <c r="X13" i="4" s="1"/>
  <c r="N13" i="4"/>
  <c r="W13" i="4" s="1"/>
  <c r="M13" i="4"/>
  <c r="V13" i="4" s="1"/>
  <c r="L13" i="4"/>
  <c r="U13" i="4" s="1"/>
  <c r="K13" i="4"/>
  <c r="T13" i="4" s="1"/>
  <c r="Y8" i="4"/>
  <c r="X8" i="4"/>
  <c r="W8" i="4"/>
  <c r="V8" i="4"/>
  <c r="U8" i="4"/>
  <c r="T8" i="4"/>
  <c r="P7" i="4"/>
  <c r="Y7" i="4" s="1"/>
  <c r="O7" i="4"/>
  <c r="X7" i="4" s="1"/>
  <c r="N7" i="4"/>
  <c r="W7" i="4" s="1"/>
  <c r="M7" i="4"/>
  <c r="V7" i="4" s="1"/>
  <c r="L7" i="4"/>
  <c r="U7" i="4" s="1"/>
  <c r="K7" i="4"/>
  <c r="T7" i="4" s="1"/>
  <c r="P6" i="4"/>
  <c r="Y6" i="4" s="1"/>
  <c r="O6" i="4"/>
  <c r="X6" i="4" s="1"/>
  <c r="N6" i="4"/>
  <c r="W6" i="4" s="1"/>
  <c r="M6" i="4"/>
  <c r="V6" i="4" s="1"/>
  <c r="L6" i="4"/>
  <c r="U6" i="4" s="1"/>
  <c r="K6" i="4"/>
  <c r="T6" i="4" s="1"/>
  <c r="P5" i="4"/>
  <c r="Y5" i="4" s="1"/>
  <c r="O5" i="4"/>
  <c r="X5" i="4" s="1"/>
  <c r="N5" i="4"/>
  <c r="W5" i="4" s="1"/>
  <c r="M5" i="4"/>
  <c r="V5" i="4" s="1"/>
  <c r="L5" i="4"/>
  <c r="U5" i="4" s="1"/>
  <c r="K5" i="4"/>
  <c r="T5" i="4" s="1"/>
  <c r="P4" i="4"/>
  <c r="Y4" i="4" s="1"/>
  <c r="O4" i="4"/>
  <c r="X4" i="4" s="1"/>
  <c r="N4" i="4"/>
  <c r="W4" i="4" s="1"/>
  <c r="M4" i="4"/>
  <c r="V4" i="4" s="1"/>
  <c r="L4" i="4"/>
  <c r="U4" i="4" s="1"/>
  <c r="K4" i="4"/>
  <c r="T4" i="4" s="1"/>
  <c r="P3" i="4"/>
  <c r="Y3" i="4" s="1"/>
  <c r="O3" i="4"/>
  <c r="X3" i="4" s="1"/>
  <c r="N3" i="4"/>
  <c r="W3" i="4" s="1"/>
  <c r="M3" i="4"/>
  <c r="V3" i="4" s="1"/>
  <c r="L3" i="4"/>
  <c r="U3" i="4" s="1"/>
  <c r="K3" i="4"/>
  <c r="T3" i="4" s="1"/>
  <c r="O3" i="3"/>
  <c r="N3" i="3"/>
  <c r="M3" i="3"/>
  <c r="L3" i="3"/>
  <c r="K3" i="3"/>
  <c r="AX5" i="2" l="1"/>
  <c r="AR5" i="2"/>
  <c r="N15" i="7"/>
  <c r="N17" i="7"/>
  <c r="AL44" i="4"/>
  <c r="AP10" i="4"/>
  <c r="AM44" i="4"/>
  <c r="AL33" i="4"/>
  <c r="AL37" i="4"/>
  <c r="AL35" i="4"/>
  <c r="AM34" i="4"/>
  <c r="AK5" i="4"/>
  <c r="AB32" i="3"/>
  <c r="W73" i="2"/>
  <c r="AA72" i="2" s="1"/>
  <c r="W96" i="2"/>
  <c r="Z97" i="2" s="1"/>
  <c r="Q43" i="2"/>
  <c r="W97" i="2"/>
  <c r="AA96" i="2" s="1"/>
  <c r="Q7" i="2"/>
  <c r="AK6" i="4"/>
  <c r="AN8" i="4"/>
  <c r="AL34" i="4"/>
  <c r="AK10" i="4"/>
  <c r="AL7" i="4"/>
  <c r="AK34" i="4"/>
  <c r="AO9" i="4"/>
  <c r="AK35" i="4"/>
  <c r="AL6" i="4"/>
  <c r="AK4" i="4"/>
  <c r="AM33" i="4"/>
  <c r="AK32" i="4"/>
  <c r="AL32" i="4"/>
  <c r="AL36" i="4"/>
  <c r="AK33" i="4"/>
  <c r="AK44" i="4"/>
  <c r="AK7" i="4"/>
  <c r="AK36" i="4"/>
  <c r="AM32" i="4"/>
  <c r="AM43" i="4"/>
  <c r="AL43" i="4"/>
  <c r="AK9" i="4"/>
  <c r="AD32" i="3"/>
  <c r="AB7" i="3"/>
  <c r="AB5" i="3"/>
  <c r="AB37" i="3"/>
  <c r="AC36" i="3"/>
  <c r="AD35" i="3"/>
  <c r="AB35" i="3"/>
  <c r="AC6" i="3"/>
  <c r="AC32" i="3"/>
  <c r="AB8" i="3"/>
  <c r="AB36" i="3"/>
  <c r="AC39" i="3"/>
  <c r="AB44" i="3"/>
  <c r="AD39" i="3"/>
  <c r="AB34" i="3"/>
  <c r="AC44" i="3"/>
  <c r="AC37" i="3"/>
  <c r="AC33" i="3"/>
  <c r="AD42" i="3"/>
  <c r="AD36" i="3"/>
  <c r="AC7" i="3"/>
  <c r="AB38" i="3"/>
  <c r="AC43" i="3"/>
  <c r="AC34" i="3"/>
  <c r="AD44" i="3"/>
  <c r="AD37" i="3"/>
  <c r="AD33" i="3"/>
  <c r="AG8" i="3"/>
  <c r="AB33" i="3"/>
  <c r="AC41" i="3"/>
  <c r="AB6" i="3"/>
  <c r="AB4" i="3"/>
  <c r="AI10" i="3"/>
  <c r="AC35" i="3"/>
  <c r="AD43" i="3"/>
  <c r="AD34" i="3"/>
  <c r="AH9" i="3"/>
  <c r="Q96" i="2"/>
  <c r="Q97" i="2"/>
  <c r="W72" i="2"/>
  <c r="Z73" i="2" s="1"/>
  <c r="Q72" i="2"/>
  <c r="Q73" i="2"/>
  <c r="Q42" i="2"/>
  <c r="Q6" i="2"/>
  <c r="U42" i="2"/>
  <c r="W42" i="2" s="1"/>
  <c r="Z43" i="2" s="1"/>
  <c r="T43" i="2"/>
  <c r="W43" i="2" s="1"/>
  <c r="AA42" i="2" s="1"/>
  <c r="W6" i="2"/>
  <c r="Z7" i="2" s="1"/>
  <c r="W7" i="2"/>
  <c r="AA6" i="2" s="1"/>
  <c r="AB10" i="3"/>
  <c r="AB9" i="3"/>
</calcChain>
</file>

<file path=xl/sharedStrings.xml><?xml version="1.0" encoding="utf-8"?>
<sst xmlns="http://purl.oclc.org/ooxml/spreadsheetml/main" count="1991" uniqueCount="209">
  <si>
    <t>Model</t>
  </si>
  <si>
    <t>Regression</t>
  </si>
  <si>
    <t>Parameter</t>
  </si>
  <si>
    <t>Mean</t>
  </si>
  <si>
    <t>2.5% percentile</t>
  </si>
  <si>
    <t>Median</t>
  </si>
  <si>
    <t>97.5% percentile</t>
  </si>
  <si>
    <t>Mode</t>
  </si>
  <si>
    <t>SD</t>
  </si>
  <si>
    <t>WAIC</t>
  </si>
  <si>
    <t>infestation1.0</t>
  </si>
  <si>
    <t>y ~ svi + hai + mobility + connected + mobility * connected</t>
  </si>
  <si>
    <t>Social vulnerability</t>
  </si>
  <si>
    <t>Host availability</t>
  </si>
  <si>
    <t>Mobility</t>
  </si>
  <si>
    <t>Connected</t>
  </si>
  <si>
    <t>mobility:connected</t>
  </si>
  <si>
    <t>infestation1.1</t>
  </si>
  <si>
    <t>y ~ svi + hai + mobility + connected + mobility * connected +     f(spatial.field, model = spde)</t>
  </si>
  <si>
    <t>Range for spatial field</t>
  </si>
  <si>
    <t>SD for spatial field</t>
  </si>
  <si>
    <t>infestation1.2</t>
  </si>
  <si>
    <t>y ~ svi + hai + mobility + connected + f(spatial.field, model = spde)</t>
  </si>
  <si>
    <t>reinfestation1</t>
  </si>
  <si>
    <t>y ~ mobility + connected</t>
  </si>
  <si>
    <t>iva0</t>
  </si>
  <si>
    <t>y ~ f(spatial.field, model = spde)</t>
  </si>
  <si>
    <t>zero-probability parameter for zero-inflated poisson_1</t>
  </si>
  <si>
    <t>iva1</t>
  </si>
  <si>
    <t>y ~ degree</t>
  </si>
  <si>
    <t>Degree</t>
  </si>
  <si>
    <t>iva2</t>
  </si>
  <si>
    <t>y ~ kin.occ.inf</t>
  </si>
  <si>
    <t>Presence of T. infestans-infested kin household</t>
  </si>
  <si>
    <t>iva3</t>
  </si>
  <si>
    <t>y ~ kin.iva.med</t>
  </si>
  <si>
    <t>kin.iva.med</t>
  </si>
  <si>
    <t>infection1.0</t>
  </si>
  <si>
    <t>Age</t>
  </si>
  <si>
    <t>Mother's serostatus</t>
  </si>
  <si>
    <t>Infected vector abundance</t>
  </si>
  <si>
    <t>mover:degree</t>
  </si>
  <si>
    <t>infection1.1</t>
  </si>
  <si>
    <t>infection1.2</t>
  </si>
  <si>
    <t>infection2.0</t>
  </si>
  <si>
    <t>Harmonic</t>
  </si>
  <si>
    <t>mover:harmonic</t>
  </si>
  <si>
    <t>infection2.1</t>
  </si>
  <si>
    <t>infection2.2</t>
  </si>
  <si>
    <t>infection3.0</t>
  </si>
  <si>
    <t>iva:harmonic</t>
  </si>
  <si>
    <t>infection3.1</t>
  </si>
  <si>
    <t>infection3.2</t>
  </si>
  <si>
    <t>Spatial effects reduced WAIC by:</t>
  </si>
  <si>
    <t>Average effect of mobility (across the whole sample) assuming connected and other predictors are fixed</t>
  </si>
  <si>
    <t>Average effect of connected asuuming mobility and other predictors are fixed</t>
  </si>
  <si>
    <t>The effect of connected had the lowest WAIC compared to other network-derived terms.  Inclusion of other predictors like svi, hai, or mobility did not improve fit. Separate attempts to explore interaction term with mobility or to incorporate the spatial field failed to converge.</t>
  </si>
  <si>
    <t>Posterior's credible interval crossed 0 when we incorporated the spatial field</t>
  </si>
  <si>
    <t>Average effect of mobility (across the whole sample) assuming degree and other predictors are fixed</t>
  </si>
  <si>
    <t>Average effect of degree asuuming mobility and other predictors are fixed</t>
  </si>
  <si>
    <t>Explore connectivity/degree as an modifier of the relationship between IVA and infection with an interaction term</t>
  </si>
  <si>
    <t>If our theory is right, we expect that non-infested houses may still be at risk of infection if they are highly connected?</t>
  </si>
  <si>
    <t>[justification] Decoupling relationship between vector abundance and human infection, through family visiting, they ; they could still be stable, but getting infected at relative’s house; mobility disrupts vector population; connectivity/degree decouples abundance and infection relationship by creating new pathways for exposure.</t>
  </si>
  <si>
    <t>Presence of infested kin household</t>
  </si>
  <si>
    <t>Range (m) for spatial field</t>
  </si>
  <si>
    <t>Mobility (1)</t>
  </si>
  <si>
    <t>Harmonic (2)</t>
  </si>
  <si>
    <t>Interaction (1)*(2)</t>
  </si>
  <si>
    <t>Infected vector abundance (1)</t>
  </si>
  <si>
    <t>Degree (2)</t>
  </si>
  <si>
    <t>Connected (2)</t>
  </si>
  <si>
    <t>(a) House infestation</t>
  </si>
  <si>
    <t>(b) House reinfestation</t>
  </si>
  <si>
    <t>(c2) Infected vector abundance</t>
  </si>
  <si>
    <t>(c3) Infected vector abundance</t>
  </si>
  <si>
    <t xml:space="preserve">(c) </t>
  </si>
  <si>
    <t xml:space="preserve">(b) </t>
  </si>
  <si>
    <t xml:space="preserve">(a) </t>
  </si>
  <si>
    <t>LOG-ODDS</t>
  </si>
  <si>
    <t>ODDS</t>
  </si>
  <si>
    <t>Table S#. Summary of posterior odds for model parameters from (a) house infestation, (b) reinfestation, and (c) infected vector abundance models, Pampa del Indio, Argentina.</t>
  </si>
  <si>
    <r>
      <t xml:space="preserve">Table S#. Summary of posterior odds for model parameters from child seropositivity to </t>
    </r>
    <r>
      <rPr>
        <b/>
        <i/>
        <sz val="11"/>
        <color theme="1"/>
        <rFont val="Arial"/>
        <family val="2"/>
      </rPr>
      <t>T. cruzi</t>
    </r>
    <r>
      <rPr>
        <b/>
        <sz val="11"/>
        <color theme="1"/>
        <rFont val="Arial"/>
        <family val="2"/>
      </rPr>
      <t xml:space="preserve"> infection models, Pampa del Indio, Argentina.</t>
    </r>
  </si>
  <si>
    <t>Table S#. Summary of posterior log-odds for model parameters from (a) house infestation, (b) reinfestation, and (c) infected vector abundance models, Pampa del Indio, Argentina.</t>
  </si>
  <si>
    <r>
      <t xml:space="preserve">Table S#. Summary of posterior log-odds for model parameters from child seropositivity to </t>
    </r>
    <r>
      <rPr>
        <b/>
        <i/>
        <sz val="11"/>
        <color theme="1"/>
        <rFont val="Arial"/>
        <family val="2"/>
      </rPr>
      <t>T. cruzi</t>
    </r>
    <r>
      <rPr>
        <b/>
        <sz val="11"/>
        <color theme="1"/>
        <rFont val="Arial"/>
        <family val="2"/>
      </rPr>
      <t xml:space="preserve"> infection models, Pampa del Indio, Argentina.</t>
    </r>
  </si>
  <si>
    <t>Epidemiologic</t>
  </si>
  <si>
    <t>Sociodemographic</t>
  </si>
  <si>
    <r>
      <t xml:space="preserve">Presence of </t>
    </r>
    <r>
      <rPr>
        <sz val="12"/>
        <color theme="1"/>
        <rFont val="Aptos Narrow"/>
        <scheme val="minor"/>
      </rPr>
      <t>infested kin house</t>
    </r>
  </si>
  <si>
    <t>Network-constructed</t>
  </si>
  <si>
    <t>Median social vulnerability among kin</t>
  </si>
  <si>
    <t>Betweenness</t>
  </si>
  <si>
    <t>Network centrality</t>
  </si>
  <si>
    <t>Harmonic centrality</t>
  </si>
  <si>
    <t>Mobility (non-mover/mover)</t>
  </si>
  <si>
    <t>Host availability index</t>
  </si>
  <si>
    <t>Social vulnerability index</t>
  </si>
  <si>
    <t>Type</t>
  </si>
  <si>
    <t>Dimensionless (MCA score)</t>
  </si>
  <si>
    <t>Note: MCA = multiple correspondence analysis</t>
  </si>
  <si>
    <t>Age in 2008</t>
  </si>
  <si>
    <t>Composite index of social vulnerability derived from MCA of socioeconomic indicators and domicile characteristics</t>
  </si>
  <si>
    <r>
      <t xml:space="preserve">Composite index of host availability derived from MCA of the number of potential domiciliary hosts for </t>
    </r>
    <r>
      <rPr>
        <i/>
        <sz val="12"/>
        <color theme="1"/>
        <rFont val="Aptos Narrow"/>
        <family val="2"/>
        <scheme val="minor"/>
      </rPr>
      <t>T. infestans</t>
    </r>
    <r>
      <rPr>
        <sz val="12"/>
        <color theme="1"/>
        <rFont val="Aptos Narrow"/>
        <family val="2"/>
        <scheme val="minor"/>
      </rPr>
      <t xml:space="preserve"> (humans, dogs, cats, and indoor-nesting chickens) and whether dogs/cats rested indoors or near the home.</t>
    </r>
  </si>
  <si>
    <t>Binary (0 = non-mover, 1 = mover)</t>
  </si>
  <si>
    <t>Binary (0 = not-connected, 1 = connected)</t>
  </si>
  <si>
    <t>Binary (0 = seronegative, 1 = seropositive)</t>
  </si>
  <si>
    <r>
      <t xml:space="preserve">Child's seropositivity (to </t>
    </r>
    <r>
      <rPr>
        <i/>
        <sz val="12"/>
        <color theme="1"/>
        <rFont val="Aptos Narrow"/>
        <scheme val="minor"/>
      </rPr>
      <t xml:space="preserve">T. cruzi </t>
    </r>
    <r>
      <rPr>
        <sz val="12"/>
        <color theme="1"/>
        <rFont val="Aptos Narrow"/>
        <scheme val="minor"/>
      </rPr>
      <t>infection)</t>
    </r>
  </si>
  <si>
    <r>
      <t xml:space="preserve">Mother's seropositivity (to </t>
    </r>
    <r>
      <rPr>
        <i/>
        <sz val="12"/>
        <color theme="1"/>
        <rFont val="Aptos Narrow"/>
        <scheme val="minor"/>
      </rPr>
      <t xml:space="preserve">T. cruzi </t>
    </r>
    <r>
      <rPr>
        <sz val="12"/>
        <color theme="1"/>
        <rFont val="Aptos Narrow"/>
        <scheme val="minor"/>
      </rPr>
      <t>infection)</t>
    </r>
  </si>
  <si>
    <t>Vector indices</t>
  </si>
  <si>
    <t>Binary (0 = non-infested, 1 = infested)</t>
  </si>
  <si>
    <t>Domiciliary/house infestation</t>
  </si>
  <si>
    <t>Domiciliary/house reinfestation</t>
  </si>
  <si>
    <t>Variable</t>
  </si>
  <si>
    <t>Level of measurement</t>
  </si>
  <si>
    <t>Individual</t>
  </si>
  <si>
    <t>Household</t>
  </si>
  <si>
    <t>Mean (SD)</t>
  </si>
  <si>
    <t>Range (min-max)</t>
  </si>
  <si>
    <t>Measurement units</t>
  </si>
  <si>
    <t>Variable description</t>
  </si>
  <si>
    <t>Table #. Description of study variables</t>
  </si>
  <si>
    <t>--</t>
  </si>
  <si>
    <t>Degree (3)</t>
  </si>
  <si>
    <t>Harmonic (4)</t>
  </si>
  <si>
    <t>Interaction (1)*(4)</t>
  </si>
  <si>
    <t>Interaction (2)*(4)</t>
  </si>
  <si>
    <t>c) Infected vector abundance</t>
  </si>
  <si>
    <t>Median abundance of infected vectors among infested kin houses</t>
  </si>
  <si>
    <t>Mobility (2)</t>
  </si>
  <si>
    <t>Interaction (2)*(3)</t>
  </si>
  <si>
    <t>Note: SD = standard deviation, WAIC = Watanabe-Akaike Information Criterion</t>
  </si>
  <si>
    <t>Standard deviation for spatial field</t>
  </si>
  <si>
    <r>
      <t xml:space="preserve">d) Child </t>
    </r>
    <r>
      <rPr>
        <i/>
        <sz val="10"/>
        <color theme="1"/>
        <rFont val="Arial"/>
        <family val="2"/>
      </rPr>
      <t>T. cruzi</t>
    </r>
    <r>
      <rPr>
        <sz val="10"/>
        <color theme="1"/>
        <rFont val="Arial"/>
        <family val="2"/>
      </rPr>
      <t xml:space="preserve"> infection model</t>
    </r>
  </si>
  <si>
    <t>Median infected vector abundance among infested kin houses</t>
  </si>
  <si>
    <t>Median (95% CrI)</t>
  </si>
  <si>
    <t>WAIC*</t>
  </si>
  <si>
    <t>Presence of infested kin house</t>
  </si>
  <si>
    <t>Mover</t>
  </si>
  <si>
    <t>Non-mover</t>
  </si>
  <si>
    <t>Unconnected</t>
  </si>
  <si>
    <t>Log-odds</t>
  </si>
  <si>
    <t>ref</t>
  </si>
  <si>
    <t>Mover, unconnected</t>
  </si>
  <si>
    <t>Non-mover, unconnected</t>
  </si>
  <si>
    <t>Non-mover, connected</t>
  </si>
  <si>
    <t>Mover, connected*</t>
  </si>
  <si>
    <t>* See "4_INLAModel.R" &gt; "INLA: Infestation" &gt; "# Post-hoc calculations" for how we calculated the joint posterior for this interaction term.</t>
  </si>
  <si>
    <t>Odds-ratios</t>
  </si>
  <si>
    <t xml:space="preserve"> </t>
  </si>
  <si>
    <t>Non-mover, degree</t>
  </si>
  <si>
    <t>Mover, degree*</t>
  </si>
  <si>
    <t>Non-mover, zero degree</t>
  </si>
  <si>
    <t>Mover, zero degree</t>
  </si>
  <si>
    <t>Zero degree</t>
  </si>
  <si>
    <t>Zero harmonic centrality</t>
  </si>
  <si>
    <t>Non-mover, zero harmonic centrality</t>
  </si>
  <si>
    <t>Non-mover, harmonic centrality</t>
  </si>
  <si>
    <t>Mover, zero harmonic centrality</t>
  </si>
  <si>
    <t>Mover, harmonic centrality*</t>
  </si>
  <si>
    <t>zero IVA, zero harmonic centrality</t>
  </si>
  <si>
    <t>zero IVA, harmonic centrality</t>
  </si>
  <si>
    <t>IVA, zero harmonic centrality</t>
  </si>
  <si>
    <t>IVA, harmonic centrality*</t>
  </si>
  <si>
    <t>Zero IVA</t>
  </si>
  <si>
    <t>IVA</t>
  </si>
  <si>
    <t>a) Infected vector abundance</t>
  </si>
  <si>
    <t>b) Infected vector abundance</t>
  </si>
  <si>
    <t>Connectivity (2)</t>
  </si>
  <si>
    <t>Table S#. Summary of posterior odds for model parameters from infected vector abundance models, Pampa del Indio, Argentina.</t>
  </si>
  <si>
    <t>Reinfestation model</t>
  </si>
  <si>
    <t>Infestation model</t>
  </si>
  <si>
    <t>Standard deviation (σ) for spatial field</t>
  </si>
  <si>
    <t>Table S#. Summary of posterior estimates for model parameters from house infestation and reinfestation models, Pampa del Indio, Argentina.</t>
  </si>
  <si>
    <r>
      <t>Median POR</t>
    </r>
    <r>
      <rPr>
        <vertAlign val="superscript"/>
        <sz val="10"/>
        <color theme="1"/>
        <rFont val="Arial"/>
        <family val="2"/>
      </rPr>
      <t>a</t>
    </r>
    <r>
      <rPr>
        <sz val="10"/>
        <color theme="1"/>
        <rFont val="Arial"/>
        <family val="2"/>
      </rPr>
      <t xml:space="preserve"> (95% CrI)</t>
    </r>
  </si>
  <si>
    <t>* Posterior estimates are in meters for spatial range and are unitless for WAIC (Watanabe-Akaike Information Criterion)</t>
  </si>
  <si>
    <r>
      <t>Range (ρ) for spatial field</t>
    </r>
    <r>
      <rPr>
        <vertAlign val="superscript"/>
        <sz val="10"/>
        <color theme="1"/>
        <rFont val="Arial"/>
        <family val="2"/>
      </rPr>
      <t>b</t>
    </r>
  </si>
  <si>
    <r>
      <t>WAIC</t>
    </r>
    <r>
      <rPr>
        <vertAlign val="superscript"/>
        <sz val="10"/>
        <color theme="1"/>
        <rFont val="Arial"/>
        <family val="2"/>
      </rPr>
      <t>b</t>
    </r>
  </si>
  <si>
    <r>
      <t xml:space="preserve">Table S#. Summary of posterior estimates for model parameters from child seropositivity to </t>
    </r>
    <r>
      <rPr>
        <b/>
        <i/>
        <sz val="10"/>
        <color theme="1"/>
        <rFont val="Arial"/>
        <family val="2"/>
      </rPr>
      <t>T. cruzi</t>
    </r>
    <r>
      <rPr>
        <b/>
        <sz val="10"/>
        <color theme="1"/>
        <rFont val="Arial"/>
        <family val="2"/>
      </rPr>
      <t xml:space="preserve"> infection models, Pampa del Indio, Argentina.</t>
    </r>
  </si>
  <si>
    <t>Table S#. Summary of posterior estimates for model parameters from infected vector abundance models, Pampa del Indio, Argentina.</t>
  </si>
  <si>
    <r>
      <rPr>
        <vertAlign val="superscript"/>
        <sz val="10"/>
        <color theme="1"/>
        <rFont val="Arial"/>
        <family val="2"/>
      </rPr>
      <t>b</t>
    </r>
    <r>
      <rPr>
        <sz val="10"/>
        <color theme="1"/>
        <rFont val="Arial"/>
        <family val="2"/>
      </rPr>
      <t xml:space="preserve"> Posterior estimate is in meters for spatial range and is unitless for WAIC (Watanabe-Akaike Information Criterion)</t>
    </r>
  </si>
  <si>
    <r>
      <t>Range (m) for spatial field</t>
    </r>
    <r>
      <rPr>
        <vertAlign val="superscript"/>
        <sz val="10"/>
        <color theme="1"/>
        <rFont val="Arial"/>
        <family val="2"/>
      </rPr>
      <t>b</t>
    </r>
  </si>
  <si>
    <t>Width of the 95% CrI (Upper bound-lower bound)</t>
  </si>
  <si>
    <t>Nonspatial</t>
  </si>
  <si>
    <t>Spatial</t>
  </si>
  <si>
    <t>% Increase</t>
  </si>
  <si>
    <t>Table X. Prevalence Odds Ratios of the effects of the interaction between household mobility and social connectivity on house infestation in 2008, Pampa del Indio, Argentina</t>
  </si>
  <si>
    <t>a)</t>
  </si>
  <si>
    <t>b)</t>
  </si>
  <si>
    <t>c)</t>
  </si>
  <si>
    <t>y ~ age + mom.serology + svi + hai + iva + mover + degree + mover *     degree</t>
  </si>
  <si>
    <t>y ~ age + mom.serology + svi + hai + iva + mover + degree + mover *     degree + f(spatial.field, model = spde)</t>
  </si>
  <si>
    <t>y ~ age + mom.serology + svi + hai + iva + mover + degree + f(spatial.field,     model = spde)</t>
  </si>
  <si>
    <r>
      <t>b</t>
    </r>
    <r>
      <rPr>
        <sz val="10"/>
        <color rgb="FF000000"/>
        <rFont val="Arial"/>
        <family val="2"/>
      </rPr>
      <t xml:space="preserve"> Posterior estimate is in meters for spatial range and is unitless for WAIC (Watanabe-Akaike Information Criterion)</t>
    </r>
  </si>
  <si>
    <r>
      <t>Median</t>
    </r>
    <r>
      <rPr>
        <vertAlign val="superscript"/>
        <sz val="10"/>
        <color theme="1"/>
        <rFont val="Arial"/>
        <family val="2"/>
      </rPr>
      <t>a</t>
    </r>
    <r>
      <rPr>
        <sz val="10"/>
        <color theme="1"/>
        <rFont val="Arial"/>
        <family val="2"/>
      </rPr>
      <t xml:space="preserve"> (95% CrI)</t>
    </r>
  </si>
  <si>
    <r>
      <t>a</t>
    </r>
    <r>
      <rPr>
        <sz val="10"/>
        <color rgb="FF000000"/>
        <rFont val="Arial"/>
        <family val="2"/>
      </rPr>
      <t xml:space="preserve"> Unless otherwise indicated</t>
    </r>
  </si>
  <si>
    <r>
      <rPr>
        <vertAlign val="superscript"/>
        <sz val="10"/>
        <color theme="1"/>
        <rFont val="Arial"/>
        <family val="2"/>
      </rPr>
      <t>a</t>
    </r>
    <r>
      <rPr>
        <sz val="10"/>
        <color theme="1"/>
        <rFont val="Arial"/>
        <family val="2"/>
      </rPr>
      <t xml:space="preserve"> Unless otherwise indicated</t>
    </r>
  </si>
  <si>
    <t>y ~ age + mom.serology + svi + hai + iva + mover + harmonic +     mover * harmonic</t>
  </si>
  <si>
    <t>y ~ age + mom.serology + svi + hai + iva + mover + harmonic +     mover * harmonic + f(spatial.field, model = spde)</t>
  </si>
  <si>
    <t>y ~ age + mom.serology + svi + hai + iva + mover + harmonic +     f(spatial.field, model = spde)</t>
  </si>
  <si>
    <t>y ~ age + mom.serology + svi + hai + iva + mover + harmonic +     iva * harmonic</t>
  </si>
  <si>
    <t>y ~ age + mom.serology + svi + hai + iva + mover + harmonic +     iva * harmonic + f(spatial.field, model = spde)</t>
  </si>
  <si>
    <r>
      <t>In a highly connected household</t>
    </r>
    <r>
      <rPr>
        <b/>
        <sz val="10"/>
        <color rgb="FF1D1C1D"/>
        <rFont val="Arial"/>
        <family val="2"/>
      </rPr>
      <t> exposure is spread across multiple pathways (via visiting of connected houses) and so local vector abundance plays a lesser role/is less predictive as a result</t>
    </r>
  </si>
  <si>
    <t>6-17%</t>
  </si>
  <si>
    <t>% Increase in Posterior Uncertainty:</t>
  </si>
  <si>
    <t>4-20%</t>
  </si>
  <si>
    <t>6-18%</t>
  </si>
  <si>
    <r>
      <t xml:space="preserve">Table X. Prevalence Odds Ratios of the effects of the interaction between infected vector abundance and harmonic centrality on child </t>
    </r>
    <r>
      <rPr>
        <b/>
        <i/>
        <sz val="10"/>
        <color theme="1"/>
        <rFont val="Arial"/>
        <family val="2"/>
      </rPr>
      <t>T. cruzi</t>
    </r>
    <r>
      <rPr>
        <b/>
        <sz val="10"/>
        <color theme="1"/>
        <rFont val="Arial"/>
        <family val="2"/>
      </rPr>
      <t xml:space="preserve"> infection in 2008, Pampa del Indio, Argentina</t>
    </r>
  </si>
  <si>
    <t>Effect of connected among mobile compared to unconnected</t>
  </si>
  <si>
    <t>For unconnected households, the effect of mobility</t>
  </si>
  <si>
    <t>For nonmobile houses, the effect of connected</t>
  </si>
  <si>
    <t>Mover, connected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</si>
</sst>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i/>
      <sz val="11"/>
      <color rgb="FF1D1C1D"/>
      <name val="Arial"/>
      <family val="2"/>
    </font>
    <font>
      <b/>
      <sz val="12"/>
      <color theme="1"/>
      <name val="Aptos Narrow"/>
      <scheme val="minor"/>
    </font>
    <font>
      <sz val="11"/>
      <color theme="1"/>
      <name val="Arial"/>
      <family val="2"/>
    </font>
    <font>
      <b/>
      <sz val="11"/>
      <color theme="1"/>
      <name val="Arial"/>
      <family val="2"/>
    </font>
    <font>
      <b/>
      <i/>
      <sz val="11"/>
      <color theme="1"/>
      <name val="Arial"/>
      <family val="2"/>
    </font>
    <font>
      <i/>
      <sz val="11"/>
      <color theme="1"/>
      <name val="Arial"/>
      <family val="2"/>
    </font>
    <font>
      <sz val="12"/>
      <color theme="1"/>
      <name val="Aptos Narrow"/>
      <scheme val="minor"/>
    </font>
    <font>
      <i/>
      <sz val="12"/>
      <color theme="1"/>
      <name val="Aptos Narrow"/>
      <scheme val="minor"/>
    </font>
    <font>
      <i/>
      <sz val="12"/>
      <color theme="1"/>
      <name val="Aptos Narrow"/>
      <family val="2"/>
      <scheme val="minor"/>
    </font>
    <font>
      <sz val="12"/>
      <color rgb="FF000000"/>
      <name val="Aptos Narrow"/>
      <family val="2"/>
      <scheme val="minor"/>
    </font>
    <font>
      <b/>
      <sz val="10"/>
      <color theme="1"/>
      <name val="Arial"/>
      <family val="2"/>
    </font>
    <font>
      <sz val="10"/>
      <color theme="1"/>
      <name val="Arial"/>
      <family val="2"/>
    </font>
    <font>
      <sz val="10"/>
      <color rgb="FF000000"/>
      <name val="Arial"/>
      <family val="2"/>
    </font>
    <font>
      <b/>
      <i/>
      <sz val="10"/>
      <color theme="1"/>
      <name val="Arial"/>
      <family val="2"/>
    </font>
    <font>
      <i/>
      <sz val="10"/>
      <color theme="1"/>
      <name val="Arial"/>
      <family val="2"/>
    </font>
    <font>
      <vertAlign val="superscript"/>
      <sz val="10"/>
      <color theme="1"/>
      <name val="Arial"/>
      <family val="2"/>
    </font>
    <font>
      <sz val="12"/>
      <color theme="1"/>
      <name val="Aptos"/>
    </font>
    <font>
      <vertAlign val="superscript"/>
      <sz val="10"/>
      <color rgb="FF000000"/>
      <name val="Arial"/>
      <family val="2"/>
    </font>
    <font>
      <b/>
      <i/>
      <sz val="10"/>
      <color rgb="FF1D1C1D"/>
      <name val="Arial"/>
      <family val="2"/>
    </font>
    <font>
      <b/>
      <sz val="10"/>
      <color rgb="FF1D1C1D"/>
      <name val="Arial"/>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DAE9F8"/>
        <bgColor rgb="FF000000"/>
      </patternFill>
    </fill>
    <fill>
      <patternFill patternType="solid">
        <fgColor theme="5" tint="0.79998168889431442"/>
        <bgColor rgb="FF000000"/>
      </patternFill>
    </fill>
    <fill>
      <patternFill patternType="solid">
        <fgColor theme="6" tint="0.79998168889431442"/>
        <bgColor rgb="FF000000"/>
      </patternFill>
    </fill>
    <fill>
      <patternFill patternType="solid">
        <fgColor rgb="FFC1F0C8"/>
        <bgColor rgb="FF000000"/>
      </patternFill>
    </fill>
    <fill>
      <patternFill patternType="solid">
        <fgColor theme="8" tint="0.79998168889431442"/>
        <bgColor rgb="FF000000"/>
      </patternFill>
    </fill>
    <fill>
      <patternFill patternType="solid">
        <fgColor theme="7" tint="0.79998168889431442"/>
        <bgColor indexed="64"/>
      </patternFill>
    </fill>
  </fills>
  <borders count="13">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end/>
      <top/>
      <bottom style="thin">
        <color indexed="64"/>
      </bottom>
      <diagonal/>
    </border>
    <border>
      <start/>
      <end/>
      <top style="thin">
        <color indexed="64"/>
      </top>
      <bottom style="thin">
        <color indexed="64"/>
      </bottom>
      <diagonal/>
    </border>
    <border>
      <start/>
      <end/>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0">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20" fillId="0" borderId="0" xfId="0" applyFont="1"/>
    <xf numFmtId="0" fontId="20" fillId="33" borderId="0" xfId="0" applyFont="1" applyFill="1"/>
    <xf numFmtId="0" fontId="20" fillId="34" borderId="0" xfId="0" applyFont="1" applyFill="1"/>
    <xf numFmtId="0" fontId="20" fillId="38" borderId="0" xfId="0" applyFont="1" applyFill="1"/>
    <xf numFmtId="0" fontId="20" fillId="39" borderId="0" xfId="0" applyFont="1" applyFill="1"/>
    <xf numFmtId="0" fontId="20" fillId="40" borderId="0" xfId="0" applyFont="1" applyFill="1"/>
    <xf numFmtId="0" fontId="20" fillId="35" borderId="0" xfId="0" applyFont="1" applyFill="1"/>
    <xf numFmtId="0" fontId="20" fillId="36" borderId="0" xfId="0" applyFont="1" applyFill="1"/>
    <xf numFmtId="0" fontId="20" fillId="37" borderId="0" xfId="0" applyFont="1" applyFill="1"/>
    <xf numFmtId="0" fontId="21" fillId="0" borderId="0" xfId="0" applyFont="1"/>
    <xf numFmtId="0" fontId="20" fillId="0" borderId="11" xfId="0" applyFont="1" applyBorder="1"/>
    <xf numFmtId="0" fontId="20" fillId="0" borderId="11" xfId="0" applyFont="1" applyBorder="1" applyAlignment="1">
      <alignment horizontal="right"/>
    </xf>
    <xf numFmtId="0" fontId="20" fillId="0" borderId="10" xfId="0" applyFont="1" applyBorder="1"/>
    <xf numFmtId="0" fontId="20" fillId="0" borderId="0" xfId="0" applyFont="1" applyAlignment="1">
      <alignment horizontal="left"/>
    </xf>
    <xf numFmtId="0" fontId="20" fillId="0" borderId="0" xfId="0" applyFont="1" applyAlignment="1">
      <alignment horizontal="right"/>
    </xf>
    <xf numFmtId="0" fontId="20" fillId="0" borderId="10" xfId="0" applyFont="1" applyBorder="1" applyAlignment="1">
      <alignment horizontal="left"/>
    </xf>
    <xf numFmtId="0" fontId="23" fillId="0" borderId="10" xfId="0" applyFont="1" applyBorder="1"/>
    <xf numFmtId="0" fontId="23" fillId="0" borderId="10" xfId="0" applyFont="1" applyBorder="1" applyAlignment="1">
      <alignment horizontal="left"/>
    </xf>
    <xf numFmtId="0" fontId="27" fillId="0" borderId="0" xfId="0" applyFont="1"/>
    <xf numFmtId="0" fontId="0" fillId="0" borderId="10" xfId="0" applyBorder="1"/>
    <xf numFmtId="0" fontId="0" fillId="0" borderId="11" xfId="0" applyBorder="1"/>
    <xf numFmtId="0" fontId="23" fillId="0" borderId="0" xfId="0" applyFont="1"/>
    <xf numFmtId="0" fontId="28" fillId="0" borderId="0" xfId="0" applyFont="1"/>
    <xf numFmtId="0" fontId="29" fillId="0" borderId="0" xfId="0" applyFont="1"/>
    <xf numFmtId="0" fontId="29" fillId="0" borderId="12" xfId="0" applyFont="1" applyBorder="1"/>
    <xf numFmtId="0" fontId="29" fillId="0" borderId="12" xfId="0" applyFont="1" applyBorder="1" applyAlignment="1">
      <alignment horizontal="right"/>
    </xf>
    <xf numFmtId="0" fontId="29" fillId="0" borderId="10" xfId="0" applyFont="1" applyBorder="1"/>
    <xf numFmtId="0" fontId="29" fillId="0" borderId="10" xfId="0" applyFont="1" applyBorder="1" applyAlignment="1">
      <alignment horizontal="right"/>
    </xf>
    <xf numFmtId="0" fontId="29" fillId="0" borderId="0" xfId="0" applyFont="1" applyAlignment="1">
      <alignment horizontal="left"/>
    </xf>
    <xf numFmtId="0" fontId="29" fillId="0" borderId="0" xfId="0" applyFont="1" applyAlignment="1">
      <alignment horizontal="right"/>
    </xf>
    <xf numFmtId="0" fontId="30" fillId="0" borderId="0" xfId="0" applyFont="1" applyAlignment="1">
      <alignment horizontal="right"/>
    </xf>
    <xf numFmtId="0" fontId="29" fillId="0" borderId="0" xfId="0" quotePrefix="1" applyFont="1" applyAlignment="1">
      <alignment horizontal="right"/>
    </xf>
    <xf numFmtId="0" fontId="29" fillId="0" borderId="10" xfId="0" applyFont="1" applyBorder="1" applyAlignment="1">
      <alignment horizontal="left"/>
    </xf>
    <xf numFmtId="0" fontId="30" fillId="0" borderId="0" xfId="0" quotePrefix="1" applyFont="1" applyAlignment="1">
      <alignment horizontal="right"/>
    </xf>
    <xf numFmtId="0" fontId="30" fillId="0" borderId="0" xfId="0" applyFont="1" applyAlignment="1">
      <alignment horizontal="left"/>
    </xf>
    <xf numFmtId="0" fontId="19" fillId="33" borderId="0" xfId="0" applyFont="1" applyFill="1"/>
    <xf numFmtId="0" fontId="0" fillId="33" borderId="0" xfId="0" applyFill="1" applyAlignment="1">
      <alignment horizontal="right"/>
    </xf>
    <xf numFmtId="0" fontId="27" fillId="41" borderId="0" xfId="0" applyFont="1" applyFill="1" applyAlignment="1">
      <alignment horizontal="right"/>
    </xf>
    <xf numFmtId="0" fontId="19" fillId="35" borderId="0" xfId="0" applyFont="1" applyFill="1"/>
    <xf numFmtId="0" fontId="0" fillId="33" borderId="0" xfId="0" quotePrefix="1" applyFill="1" applyAlignment="1">
      <alignment horizontal="right"/>
    </xf>
    <xf numFmtId="0" fontId="19" fillId="36" borderId="0" xfId="0" applyFont="1" applyFill="1"/>
    <xf numFmtId="0" fontId="19" fillId="37" borderId="0" xfId="0" applyFont="1" applyFill="1"/>
    <xf numFmtId="10" fontId="0" fillId="33" borderId="0" xfId="0" applyNumberFormat="1" applyFill="1"/>
    <xf numFmtId="10" fontId="0" fillId="33" borderId="0" xfId="0" applyNumberFormat="1" applyFill="1" applyAlignment="1">
      <alignment horizontal="right"/>
    </xf>
    <xf numFmtId="0" fontId="34" fillId="0" borderId="0" xfId="0" applyFont="1"/>
    <xf numFmtId="0" fontId="35" fillId="0" borderId="0" xfId="0" applyFont="1" applyAlignment="1">
      <alignment vertical="center"/>
    </xf>
    <xf numFmtId="0" fontId="29" fillId="33" borderId="0" xfId="0" applyFont="1" applyFill="1"/>
    <xf numFmtId="0" fontId="28" fillId="33" borderId="0" xfId="0" applyFont="1" applyFill="1"/>
    <xf numFmtId="0" fontId="28" fillId="33" borderId="11" xfId="0" applyFont="1" applyFill="1" applyBorder="1"/>
    <xf numFmtId="0" fontId="29" fillId="33" borderId="11" xfId="0" applyFont="1" applyFill="1" applyBorder="1"/>
    <xf numFmtId="10" fontId="29" fillId="33" borderId="11" xfId="0" applyNumberFormat="1" applyFont="1" applyFill="1" applyBorder="1"/>
    <xf numFmtId="10" fontId="29" fillId="33" borderId="11" xfId="0" applyNumberFormat="1" applyFont="1" applyFill="1" applyBorder="1" applyAlignment="1">
      <alignment horizontal="right"/>
    </xf>
    <xf numFmtId="0" fontId="29" fillId="33" borderId="12" xfId="0" applyFont="1" applyFill="1" applyBorder="1"/>
    <xf numFmtId="0" fontId="29" fillId="33" borderId="12" xfId="0" applyFont="1" applyFill="1" applyBorder="1" applyAlignment="1">
      <alignment horizontal="right"/>
    </xf>
    <xf numFmtId="0" fontId="29" fillId="33" borderId="0" xfId="0" applyFont="1" applyFill="1" applyAlignment="1">
      <alignment horizontal="right"/>
    </xf>
    <xf numFmtId="0" fontId="29" fillId="33" borderId="10" xfId="0" applyFont="1" applyFill="1" applyBorder="1"/>
    <xf numFmtId="0" fontId="29" fillId="33" borderId="10" xfId="0" applyFont="1" applyFill="1" applyBorder="1" applyAlignment="1">
      <alignment horizontal="right"/>
    </xf>
    <xf numFmtId="0" fontId="30" fillId="41" borderId="0" xfId="0" applyFont="1" applyFill="1" applyAlignment="1">
      <alignment horizontal="right"/>
    </xf>
    <xf numFmtId="0" fontId="30" fillId="41" borderId="10" xfId="0" applyFont="1" applyFill="1" applyBorder="1" applyAlignment="1">
      <alignment horizontal="right"/>
    </xf>
    <xf numFmtId="0" fontId="29" fillId="33" borderId="0" xfId="0" quotePrefix="1" applyFont="1" applyFill="1" applyAlignment="1">
      <alignment horizontal="right"/>
    </xf>
    <xf numFmtId="0" fontId="29" fillId="33" borderId="10" xfId="0" quotePrefix="1" applyFont="1" applyFill="1" applyBorder="1" applyAlignment="1">
      <alignment horizontal="right"/>
    </xf>
    <xf numFmtId="0" fontId="29" fillId="34" borderId="0" xfId="0" applyFont="1" applyFill="1"/>
    <xf numFmtId="0" fontId="29" fillId="38" borderId="0" xfId="0" applyFont="1" applyFill="1"/>
    <xf numFmtId="0" fontId="29" fillId="39" borderId="0" xfId="0" applyFont="1" applyFill="1"/>
    <xf numFmtId="0" fontId="29" fillId="40" borderId="0" xfId="0" applyFont="1" applyFill="1"/>
    <xf numFmtId="0" fontId="29" fillId="35" borderId="0" xfId="0" applyFont="1" applyFill="1"/>
    <xf numFmtId="0" fontId="28" fillId="35" borderId="0" xfId="0" applyFont="1" applyFill="1"/>
    <xf numFmtId="0" fontId="29" fillId="35" borderId="0" xfId="0" applyFont="1" applyFill="1" applyAlignment="1">
      <alignment horizontal="right"/>
    </xf>
    <xf numFmtId="0" fontId="29" fillId="35" borderId="11" xfId="0" applyFont="1" applyFill="1" applyBorder="1"/>
    <xf numFmtId="10" fontId="29" fillId="35" borderId="11" xfId="0" applyNumberFormat="1" applyFont="1" applyFill="1" applyBorder="1"/>
    <xf numFmtId="10" fontId="29" fillId="35" borderId="11" xfId="0" applyNumberFormat="1" applyFont="1" applyFill="1" applyBorder="1" applyAlignment="1">
      <alignment horizontal="right"/>
    </xf>
    <xf numFmtId="0" fontId="28" fillId="35" borderId="11" xfId="0" applyFont="1" applyFill="1" applyBorder="1"/>
    <xf numFmtId="0" fontId="29" fillId="35" borderId="12" xfId="0" applyFont="1" applyFill="1" applyBorder="1"/>
    <xf numFmtId="0" fontId="29" fillId="35" borderId="12" xfId="0" applyFont="1" applyFill="1" applyBorder="1" applyAlignment="1">
      <alignment horizontal="right"/>
    </xf>
    <xf numFmtId="0" fontId="29" fillId="35" borderId="10" xfId="0" applyFont="1" applyFill="1" applyBorder="1"/>
    <xf numFmtId="0" fontId="29" fillId="35" borderId="10" xfId="0" applyFont="1" applyFill="1" applyBorder="1" applyAlignment="1">
      <alignment horizontal="right"/>
    </xf>
    <xf numFmtId="0" fontId="30" fillId="42" borderId="0" xfId="0" applyFont="1" applyFill="1" applyAlignment="1">
      <alignment horizontal="right"/>
    </xf>
    <xf numFmtId="0" fontId="30" fillId="42" borderId="10" xfId="0" applyFont="1" applyFill="1" applyBorder="1" applyAlignment="1">
      <alignment horizontal="right"/>
    </xf>
    <xf numFmtId="0" fontId="29" fillId="35" borderId="0" xfId="0" quotePrefix="1" applyFont="1" applyFill="1" applyAlignment="1">
      <alignment horizontal="right"/>
    </xf>
    <xf numFmtId="0" fontId="29" fillId="35" borderId="10" xfId="0" quotePrefix="1" applyFont="1" applyFill="1" applyBorder="1" applyAlignment="1">
      <alignment horizontal="right"/>
    </xf>
    <xf numFmtId="0" fontId="29" fillId="36" borderId="0" xfId="0" applyFont="1" applyFill="1"/>
    <xf numFmtId="0" fontId="28" fillId="36" borderId="0" xfId="0" applyFont="1" applyFill="1"/>
    <xf numFmtId="0" fontId="29" fillId="36" borderId="0" xfId="0" applyFont="1" applyFill="1" applyAlignment="1">
      <alignment horizontal="right"/>
    </xf>
    <xf numFmtId="0" fontId="29" fillId="36" borderId="11" xfId="0" applyFont="1" applyFill="1" applyBorder="1"/>
    <xf numFmtId="10" fontId="29" fillId="36" borderId="11" xfId="0" applyNumberFormat="1" applyFont="1" applyFill="1" applyBorder="1"/>
    <xf numFmtId="10" fontId="29" fillId="36" borderId="11" xfId="0" applyNumberFormat="1" applyFont="1" applyFill="1" applyBorder="1" applyAlignment="1">
      <alignment horizontal="right"/>
    </xf>
    <xf numFmtId="0" fontId="28" fillId="36" borderId="11" xfId="0" applyFont="1" applyFill="1" applyBorder="1"/>
    <xf numFmtId="0" fontId="29" fillId="36" borderId="11" xfId="0" applyFont="1" applyFill="1" applyBorder="1" applyAlignment="1">
      <alignment horizontal="right"/>
    </xf>
    <xf numFmtId="0" fontId="29" fillId="36" borderId="12" xfId="0" applyFont="1" applyFill="1" applyBorder="1"/>
    <xf numFmtId="0" fontId="29" fillId="36" borderId="12" xfId="0" applyFont="1" applyFill="1" applyBorder="1" applyAlignment="1">
      <alignment horizontal="right"/>
    </xf>
    <xf numFmtId="0" fontId="29" fillId="36" borderId="10" xfId="0" applyFont="1" applyFill="1" applyBorder="1"/>
    <xf numFmtId="0" fontId="29" fillId="36" borderId="10" xfId="0" applyFont="1" applyFill="1" applyBorder="1" applyAlignment="1">
      <alignment horizontal="right"/>
    </xf>
    <xf numFmtId="0" fontId="30" fillId="43" borderId="0" xfId="0" applyFont="1" applyFill="1" applyAlignment="1">
      <alignment horizontal="right"/>
    </xf>
    <xf numFmtId="0" fontId="30" fillId="44" borderId="0" xfId="0" applyFont="1" applyFill="1"/>
    <xf numFmtId="0" fontId="30" fillId="44" borderId="10" xfId="0" applyFont="1" applyFill="1" applyBorder="1"/>
    <xf numFmtId="0" fontId="30" fillId="43" borderId="10" xfId="0" applyFont="1" applyFill="1" applyBorder="1" applyAlignment="1">
      <alignment horizontal="right"/>
    </xf>
    <xf numFmtId="0" fontId="29" fillId="36" borderId="0" xfId="0" quotePrefix="1" applyFont="1" applyFill="1" applyAlignment="1">
      <alignment horizontal="right"/>
    </xf>
    <xf numFmtId="0" fontId="29" fillId="36" borderId="10" xfId="0" quotePrefix="1" applyFont="1" applyFill="1" applyBorder="1" applyAlignment="1">
      <alignment horizontal="right"/>
    </xf>
    <xf numFmtId="0" fontId="29" fillId="37" borderId="0" xfId="0" applyFont="1" applyFill="1"/>
    <xf numFmtId="0" fontId="28" fillId="37" borderId="0" xfId="0" applyFont="1" applyFill="1"/>
    <xf numFmtId="0" fontId="29" fillId="37" borderId="0" xfId="0" applyFont="1" applyFill="1" applyAlignment="1">
      <alignment horizontal="right"/>
    </xf>
    <xf numFmtId="0" fontId="29" fillId="37" borderId="11" xfId="0" applyFont="1" applyFill="1" applyBorder="1"/>
    <xf numFmtId="10" fontId="29" fillId="37" borderId="11" xfId="0" applyNumberFormat="1" applyFont="1" applyFill="1" applyBorder="1"/>
    <xf numFmtId="10" fontId="29" fillId="37" borderId="11" xfId="0" applyNumberFormat="1" applyFont="1" applyFill="1" applyBorder="1" applyAlignment="1">
      <alignment horizontal="right"/>
    </xf>
    <xf numFmtId="0" fontId="28" fillId="37" borderId="11" xfId="0" applyFont="1" applyFill="1" applyBorder="1"/>
    <xf numFmtId="0" fontId="29" fillId="37" borderId="11" xfId="0" applyFont="1" applyFill="1" applyBorder="1" applyAlignment="1">
      <alignment horizontal="right"/>
    </xf>
    <xf numFmtId="0" fontId="29" fillId="37" borderId="12" xfId="0" applyFont="1" applyFill="1" applyBorder="1"/>
    <xf numFmtId="0" fontId="29" fillId="37" borderId="12" xfId="0" applyFont="1" applyFill="1" applyBorder="1" applyAlignment="1">
      <alignment horizontal="right"/>
    </xf>
    <xf numFmtId="0" fontId="29" fillId="37" borderId="10" xfId="0" applyFont="1" applyFill="1" applyBorder="1"/>
    <xf numFmtId="0" fontId="29" fillId="37" borderId="10" xfId="0" applyFont="1" applyFill="1" applyBorder="1" applyAlignment="1">
      <alignment horizontal="right"/>
    </xf>
    <xf numFmtId="0" fontId="30" fillId="45" borderId="0" xfId="0" applyFont="1" applyFill="1" applyAlignment="1">
      <alignment horizontal="right"/>
    </xf>
    <xf numFmtId="0" fontId="30" fillId="45" borderId="0" xfId="0" applyFont="1" applyFill="1"/>
    <xf numFmtId="0" fontId="30" fillId="45" borderId="10" xfId="0" applyFont="1" applyFill="1" applyBorder="1"/>
    <xf numFmtId="0" fontId="30" fillId="45" borderId="10" xfId="0" applyFont="1" applyFill="1" applyBorder="1" applyAlignment="1">
      <alignment horizontal="right"/>
    </xf>
    <xf numFmtId="0" fontId="29" fillId="37" borderId="0" xfId="0" quotePrefix="1" applyFont="1" applyFill="1" applyAlignment="1">
      <alignment horizontal="right"/>
    </xf>
    <xf numFmtId="0" fontId="29" fillId="37" borderId="10" xfId="0" quotePrefix="1" applyFont="1" applyFill="1" applyBorder="1" applyAlignment="1">
      <alignment horizontal="right"/>
    </xf>
    <xf numFmtId="0" fontId="36" fillId="37" borderId="0" xfId="0" applyFont="1" applyFill="1"/>
    <xf numFmtId="0" fontId="28" fillId="35" borderId="10" xfId="0" applyFont="1" applyFill="1" applyBorder="1" applyAlignment="1">
      <alignment horizontal="right"/>
    </xf>
    <xf numFmtId="0" fontId="28" fillId="36" borderId="10" xfId="0" applyFont="1" applyFill="1" applyBorder="1" applyAlignment="1">
      <alignment horizontal="right"/>
    </xf>
    <xf numFmtId="0" fontId="28" fillId="37" borderId="10" xfId="0" applyFont="1" applyFill="1" applyBorder="1" applyAlignment="1">
      <alignment horizontal="right"/>
    </xf>
    <xf numFmtId="0" fontId="0" fillId="35" borderId="0" xfId="0" applyFill="1" applyAlignment="1">
      <alignment horizontal="right"/>
    </xf>
    <xf numFmtId="10" fontId="0" fillId="35" borderId="0" xfId="0" applyNumberFormat="1" applyFill="1"/>
    <xf numFmtId="10" fontId="0" fillId="35" borderId="0" xfId="0" applyNumberFormat="1" applyFill="1" applyAlignment="1">
      <alignment horizontal="right"/>
    </xf>
    <xf numFmtId="0" fontId="27" fillId="42" borderId="0" xfId="0" applyFont="1" applyFill="1" applyAlignment="1">
      <alignment horizontal="right"/>
    </xf>
    <xf numFmtId="0" fontId="0" fillId="35" borderId="0" xfId="0" quotePrefix="1" applyFill="1" applyAlignment="1">
      <alignment horizontal="right"/>
    </xf>
    <xf numFmtId="10" fontId="0" fillId="36" borderId="0" xfId="0" applyNumberFormat="1" applyFill="1"/>
    <xf numFmtId="10" fontId="0" fillId="36" borderId="0" xfId="0" applyNumberFormat="1" applyFill="1" applyAlignment="1">
      <alignment horizontal="right"/>
    </xf>
    <xf numFmtId="0" fontId="0" fillId="36" borderId="0" xfId="0" applyFill="1" applyAlignment="1">
      <alignment horizontal="right"/>
    </xf>
    <xf numFmtId="0" fontId="27" fillId="43" borderId="0" xfId="0" applyFont="1" applyFill="1" applyAlignment="1">
      <alignment horizontal="right"/>
    </xf>
    <xf numFmtId="0" fontId="27" fillId="44" borderId="0" xfId="0" applyFont="1" applyFill="1"/>
    <xf numFmtId="0" fontId="0" fillId="36" borderId="0" xfId="0" quotePrefix="1" applyFill="1" applyAlignment="1">
      <alignment horizontal="right"/>
    </xf>
    <xf numFmtId="0" fontId="18" fillId="0" borderId="0" xfId="0" applyFont="1"/>
    <xf numFmtId="0" fontId="0" fillId="37" borderId="0" xfId="0" applyFill="1" applyAlignment="1">
      <alignment horizontal="right"/>
    </xf>
    <xf numFmtId="0" fontId="24" fillId="37" borderId="0" xfId="0" applyFont="1" applyFill="1"/>
    <xf numFmtId="10" fontId="0" fillId="37" borderId="0" xfId="0" applyNumberFormat="1" applyFill="1"/>
    <xf numFmtId="10" fontId="0" fillId="37" borderId="0" xfId="0" applyNumberFormat="1" applyFill="1" applyAlignment="1">
      <alignment horizontal="right"/>
    </xf>
    <xf numFmtId="0" fontId="27" fillId="45" borderId="0" xfId="0" applyFont="1" applyFill="1" applyAlignment="1">
      <alignment horizontal="right"/>
    </xf>
    <xf numFmtId="0" fontId="27" fillId="45" borderId="0" xfId="0" applyFont="1" applyFill="1"/>
    <xf numFmtId="0" fontId="0" fillId="37" borderId="0" xfId="0" quotePrefix="1" applyFill="1" applyAlignment="1">
      <alignment horizontal="right"/>
    </xf>
    <xf numFmtId="0" fontId="29" fillId="46" borderId="0" xfId="0" applyFont="1" applyFill="1"/>
    <xf numFmtId="0" fontId="35"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tyles" Target="styles.xml"/><Relationship Id="rId3" Type="http://purl.oclc.org/ooxml/officeDocument/relationships/worksheet" Target="worksheets/sheet3.xml"/><Relationship Id="rId7"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worksheet" Target="worksheets/sheet6.xml"/><Relationship Id="rId5" Type="http://purl.oclc.org/ooxml/officeDocument/relationships/worksheet" Target="worksheets/sheet5.xml"/><Relationship Id="rId10" Type="http://purl.oclc.org/ooxml/officeDocument/relationships/calcChain" Target="calcChain.xml"/><Relationship Id="rId4" Type="http://purl.oclc.org/ooxml/officeDocument/relationships/worksheet" Target="worksheets/sheet4.xml"/><Relationship Id="rId9" Type="http://purl.oclc.org/ooxml/officeDocument/relationships/sharedStrings" Target="sharedString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xdr:from>
      <xdr:col>29</xdr:col>
      <xdr:colOff>0</xdr:colOff>
      <xdr:row>2</xdr:row>
      <xdr:rowOff>0</xdr:rowOff>
    </xdr:from>
    <xdr:to>
      <xdr:col>36</xdr:col>
      <xdr:colOff>807933</xdr:colOff>
      <xdr:row>18</xdr:row>
      <xdr:rowOff>50800</xdr:rowOff>
    </xdr:to>
    <xdr:sp macro="" textlink="">
      <xdr:nvSpPr>
        <xdr:cNvPr id="2" name="TextBox 10">
          <a:extLst>
            <a:ext uri="{FF2B5EF4-FFF2-40B4-BE49-F238E27FC236}">
              <a16:creationId xmlns:a16="http://schemas.microsoft.com/office/drawing/2014/main" id="{F19E05EF-79BC-7245-982D-9DDEF8D5D944}"/>
            </a:ext>
          </a:extLst>
        </xdr:cNvPr>
        <xdr:cNvSpPr txBox="1"/>
      </xdr:nvSpPr>
      <xdr:spPr>
        <a:xfrm>
          <a:off x="37422667" y="406400"/>
          <a:ext cx="6616066" cy="3302000"/>
        </a:xfrm>
        <a:prstGeom prst="rect">
          <a:avLst/>
        </a:prstGeom>
        <a:solidFill>
          <a:schemeClr val="bg1"/>
        </a:solidFill>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ts val="1780"/>
            </a:lnSpc>
          </a:pPr>
          <a:r>
            <a:rPr lang="en-US" sz="1200">
              <a:latin typeface="Arial" panose="020B0604020202020204" pitchFamily="34" charset="0"/>
              <a:cs typeface="Arial" panose="020B0604020202020204" pitchFamily="34" charset="0"/>
            </a:rPr>
            <a:t>Compared to non-moving households with no kin connections, what are the mean odds of infestation for…?</a:t>
          </a:r>
          <a:endParaRPr lang="en-US" sz="1200" b="1">
            <a:latin typeface="Arial" panose="020B0604020202020204" pitchFamily="34" charset="0"/>
            <a:cs typeface="Arial" panose="020B0604020202020204" pitchFamily="34" charset="0"/>
          </a:endParaRPr>
        </a:p>
        <a:p>
          <a:pPr algn="ctr">
            <a:lnSpc>
              <a:spcPts val="1780"/>
            </a:lnSpc>
          </a:pPr>
          <a:r>
            <a:rPr lang="en-US" sz="1200" b="1">
              <a:latin typeface="Arial" panose="020B0604020202020204" pitchFamily="34" charset="0"/>
              <a:ea typeface="Cambria Math" panose="02040503050406030204" pitchFamily="18" charset="0"/>
              <a:cs typeface="Arial" panose="020B0604020202020204" pitchFamily="34" charset="0"/>
            </a:rPr>
            <a:t>𝑌 = 𝛽</a:t>
          </a:r>
          <a:r>
            <a:rPr lang="en-US" sz="1200" b="1" baseline="-25%">
              <a:latin typeface="Arial" panose="020B0604020202020204" pitchFamily="34" charset="0"/>
              <a:ea typeface="Cambria Math" panose="02040503050406030204" pitchFamily="18" charset="0"/>
              <a:cs typeface="Arial" panose="020B0604020202020204" pitchFamily="34" charset="0"/>
            </a:rPr>
            <a:t>0</a:t>
          </a:r>
          <a:r>
            <a:rPr lang="en-US" sz="1200" b="1">
              <a:latin typeface="Arial" panose="020B0604020202020204" pitchFamily="34" charset="0"/>
              <a:ea typeface="Cambria Math" panose="02040503050406030204" pitchFamily="18" charset="0"/>
              <a:cs typeface="Arial" panose="020B0604020202020204" pitchFamily="34" charset="0"/>
            </a:rPr>
            <a:t>+𝛽</a:t>
          </a:r>
          <a:r>
            <a:rPr lang="en-US" sz="1200" b="1" baseline="-25%">
              <a:latin typeface="Arial" panose="020B0604020202020204" pitchFamily="34" charset="0"/>
              <a:ea typeface="Cambria Math" panose="02040503050406030204" pitchFamily="18" charset="0"/>
              <a:cs typeface="Arial" panose="020B0604020202020204" pitchFamily="34" charset="0"/>
            </a:rPr>
            <a:t>1</a:t>
          </a:r>
          <a:r>
            <a:rPr lang="en-US" sz="1200" b="1">
              <a:latin typeface="Arial" panose="020B0604020202020204" pitchFamily="34" charset="0"/>
              <a:ea typeface="Cambria Math" panose="02040503050406030204" pitchFamily="18" charset="0"/>
              <a:cs typeface="Arial" panose="020B0604020202020204" pitchFamily="34" charset="0"/>
            </a:rPr>
            <a:t>(mover) +𝛽</a:t>
          </a:r>
          <a:r>
            <a:rPr lang="en-US" sz="1200" b="1" baseline="-25%">
              <a:latin typeface="Arial" panose="020B0604020202020204" pitchFamily="34" charset="0"/>
              <a:ea typeface="Cambria Math" panose="02040503050406030204" pitchFamily="18" charset="0"/>
              <a:cs typeface="Arial" panose="020B0604020202020204" pitchFamily="34" charset="0"/>
            </a:rPr>
            <a:t>2</a:t>
          </a:r>
          <a:r>
            <a:rPr lang="en-US" sz="1200" b="1">
              <a:latin typeface="Arial" panose="020B0604020202020204" pitchFamily="34" charset="0"/>
              <a:ea typeface="Cambria Math" panose="02040503050406030204" pitchFamily="18" charset="0"/>
              <a:cs typeface="Arial" panose="020B0604020202020204" pitchFamily="34" charset="0"/>
            </a:rPr>
            <a:t>(connected) +𝛽(mover × connected) + …</a:t>
          </a:r>
          <a:endParaRPr lang="en-US" sz="1200">
            <a:latin typeface="Arial" panose="020B0604020202020204" pitchFamily="34" charset="0"/>
            <a:ea typeface="Cambria Math" panose="02040503050406030204" pitchFamily="18" charset="0"/>
            <a:cs typeface="Arial" panose="020B0604020202020204" pitchFamily="34" charset="0"/>
          </a:endParaRP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…Non-mover, non-connected (0,0):</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(0)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(0) +𝛽(0 × 0) = 𝛽</a:t>
          </a:r>
          <a:r>
            <a:rPr lang="en-US" sz="1200" baseline="-25%">
              <a:latin typeface="Arial" panose="020B0604020202020204" pitchFamily="34" charset="0"/>
              <a:ea typeface="Cambria Math" panose="02040503050406030204" pitchFamily="18" charset="0"/>
              <a:cs typeface="Arial" panose="020B0604020202020204" pitchFamily="34" charset="0"/>
            </a:rPr>
            <a:t>0</a:t>
          </a:r>
          <a:endParaRPr lang="en-US" sz="1200">
            <a:latin typeface="Arial" panose="020B0604020202020204" pitchFamily="34" charset="0"/>
            <a:ea typeface="Cambria Math" panose="02040503050406030204" pitchFamily="18" charset="0"/>
            <a:cs typeface="Arial" panose="020B0604020202020204" pitchFamily="34" charset="0"/>
          </a:endParaRP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…Mover, non-connected (1,0):</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(0) +𝛽(1 × 0)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 -1.459 = exp(-1.459) = 0.232 </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…Non-mover, connected (0,1):</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(0)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+𝛽(0 × 1)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 -0.486 = exp(-0.486) = 0.615</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…Mover, connected (1, 1):</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+𝛽(1 × 1)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+𝛽(1 × 1) = -1.459 - 0.486 + 1.643 = -0.302 = exp(-0.302) = 0.739</a:t>
          </a:r>
        </a:p>
      </xdr:txBody>
    </xdr:sp>
    <xdr:clientData/>
  </xdr:twoCellAnchor>
  <xdr:twoCellAnchor editAs="oneCell">
    <xdr:from>
      <xdr:col>29</xdr:col>
      <xdr:colOff>99887</xdr:colOff>
      <xdr:row>30</xdr:row>
      <xdr:rowOff>156966</xdr:rowOff>
    </xdr:from>
    <xdr:to>
      <xdr:col>38</xdr:col>
      <xdr:colOff>423522</xdr:colOff>
      <xdr:row>41</xdr:row>
      <xdr:rowOff>72126</xdr:rowOff>
    </xdr:to>
    <xdr:pic>
      <xdr:nvPicPr>
        <xdr:cNvPr id="4" name="Picture 3">
          <a:extLst>
            <a:ext uri="{FF2B5EF4-FFF2-40B4-BE49-F238E27FC236}">
              <a16:creationId xmlns:a16="http://schemas.microsoft.com/office/drawing/2014/main" id="{798A5B9E-B749-4F3B-44A8-F91D591AC60E}"/>
            </a:ext>
          </a:extLst>
        </xdr:cNvPr>
        <xdr:cNvPicPr>
          <a:picLocks noChangeAspect="1"/>
        </xdr:cNvPicPr>
      </xdr:nvPicPr>
      <xdr:blipFill>
        <a:blip xmlns:r="http://purl.oclc.org/ooxml/officeDocument/relationships" r:embed="rId1"/>
        <a:stretch>
          <a:fillRect/>
        </a:stretch>
      </xdr:blipFill>
      <xdr:spPr>
        <a:xfrm>
          <a:off x="37629100" y="5294045"/>
          <a:ext cx="7772400" cy="1798755"/>
        </a:xfrm>
        <a:prstGeom prst="rect">
          <a:avLst/>
        </a:prstGeom>
      </xdr:spPr>
    </xdr:pic>
    <xdr:clientData/>
  </xdr:twoCellAnchor>
</xdr:wsDr>
</file>

<file path=xl/drawings/drawing2.xml><?xml version="1.0" encoding="utf-8"?>
<xdr:wsDr xmlns:xdr="http://purl.oclc.org/ooxml/drawingml/spreadsheetDrawing" xmlns:a="http://purl.oclc.org/ooxml/drawingml/main">
  <xdr:twoCellAnchor>
    <xdr:from>
      <xdr:col>29</xdr:col>
      <xdr:colOff>0</xdr:colOff>
      <xdr:row>2</xdr:row>
      <xdr:rowOff>0</xdr:rowOff>
    </xdr:from>
    <xdr:to>
      <xdr:col>36</xdr:col>
      <xdr:colOff>807933</xdr:colOff>
      <xdr:row>18</xdr:row>
      <xdr:rowOff>50800</xdr:rowOff>
    </xdr:to>
    <xdr:sp macro="" textlink="">
      <xdr:nvSpPr>
        <xdr:cNvPr id="2" name="TextBox 10">
          <a:extLst>
            <a:ext uri="{FF2B5EF4-FFF2-40B4-BE49-F238E27FC236}">
              <a16:creationId xmlns:a16="http://schemas.microsoft.com/office/drawing/2014/main" id="{43B77EEE-1F38-5D45-B248-12400EEFF371}"/>
            </a:ext>
          </a:extLst>
        </xdr:cNvPr>
        <xdr:cNvSpPr txBox="1"/>
      </xdr:nvSpPr>
      <xdr:spPr>
        <a:xfrm>
          <a:off x="37325300" y="406400"/>
          <a:ext cx="6586433" cy="3302000"/>
        </a:xfrm>
        <a:prstGeom prst="rect">
          <a:avLst/>
        </a:prstGeom>
        <a:solidFill>
          <a:schemeClr val="bg1"/>
        </a:solidFill>
      </xdr:spPr>
      <xdr:txBody>
        <a:bodyPr wrap="square">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ts val="1780"/>
            </a:lnSpc>
          </a:pPr>
          <a:r>
            <a:rPr lang="en-US" sz="1200">
              <a:latin typeface="Arial" panose="020B0604020202020204" pitchFamily="34" charset="0"/>
              <a:cs typeface="Arial" panose="020B0604020202020204" pitchFamily="34" charset="0"/>
            </a:rPr>
            <a:t>Compared to non-moving households with no kin connections, what are the mean odds of infestation for…?</a:t>
          </a:r>
          <a:endParaRPr lang="en-US" sz="1200" b="1">
            <a:latin typeface="Arial" panose="020B0604020202020204" pitchFamily="34" charset="0"/>
            <a:cs typeface="Arial" panose="020B0604020202020204" pitchFamily="34" charset="0"/>
          </a:endParaRPr>
        </a:p>
        <a:p>
          <a:pPr algn="ctr">
            <a:lnSpc>
              <a:spcPts val="1780"/>
            </a:lnSpc>
          </a:pPr>
          <a:r>
            <a:rPr lang="en-US" sz="1200" b="1">
              <a:latin typeface="Arial" panose="020B0604020202020204" pitchFamily="34" charset="0"/>
              <a:ea typeface="Cambria Math" panose="02040503050406030204" pitchFamily="18" charset="0"/>
              <a:cs typeface="Arial" panose="020B0604020202020204" pitchFamily="34" charset="0"/>
            </a:rPr>
            <a:t>𝑌 = 𝛽</a:t>
          </a:r>
          <a:r>
            <a:rPr lang="en-US" sz="1200" b="1" baseline="-25%">
              <a:latin typeface="Arial" panose="020B0604020202020204" pitchFamily="34" charset="0"/>
              <a:ea typeface="Cambria Math" panose="02040503050406030204" pitchFamily="18" charset="0"/>
              <a:cs typeface="Arial" panose="020B0604020202020204" pitchFamily="34" charset="0"/>
            </a:rPr>
            <a:t>0</a:t>
          </a:r>
          <a:r>
            <a:rPr lang="en-US" sz="1200" b="1">
              <a:latin typeface="Arial" panose="020B0604020202020204" pitchFamily="34" charset="0"/>
              <a:ea typeface="Cambria Math" panose="02040503050406030204" pitchFamily="18" charset="0"/>
              <a:cs typeface="Arial" panose="020B0604020202020204" pitchFamily="34" charset="0"/>
            </a:rPr>
            <a:t>+𝛽</a:t>
          </a:r>
          <a:r>
            <a:rPr lang="en-US" sz="1200" b="1" baseline="-25%">
              <a:latin typeface="Arial" panose="020B0604020202020204" pitchFamily="34" charset="0"/>
              <a:ea typeface="Cambria Math" panose="02040503050406030204" pitchFamily="18" charset="0"/>
              <a:cs typeface="Arial" panose="020B0604020202020204" pitchFamily="34" charset="0"/>
            </a:rPr>
            <a:t>1</a:t>
          </a:r>
          <a:r>
            <a:rPr lang="en-US" sz="1200" b="1">
              <a:latin typeface="Arial" panose="020B0604020202020204" pitchFamily="34" charset="0"/>
              <a:ea typeface="Cambria Math" panose="02040503050406030204" pitchFamily="18" charset="0"/>
              <a:cs typeface="Arial" panose="020B0604020202020204" pitchFamily="34" charset="0"/>
            </a:rPr>
            <a:t>(mover) +𝛽</a:t>
          </a:r>
          <a:r>
            <a:rPr lang="en-US" sz="1200" b="1" baseline="-25%">
              <a:latin typeface="Arial" panose="020B0604020202020204" pitchFamily="34" charset="0"/>
              <a:ea typeface="Cambria Math" panose="02040503050406030204" pitchFamily="18" charset="0"/>
              <a:cs typeface="Arial" panose="020B0604020202020204" pitchFamily="34" charset="0"/>
            </a:rPr>
            <a:t>2</a:t>
          </a:r>
          <a:r>
            <a:rPr lang="en-US" sz="1200" b="1">
              <a:latin typeface="Arial" panose="020B0604020202020204" pitchFamily="34" charset="0"/>
              <a:ea typeface="Cambria Math" panose="02040503050406030204" pitchFamily="18" charset="0"/>
              <a:cs typeface="Arial" panose="020B0604020202020204" pitchFamily="34" charset="0"/>
            </a:rPr>
            <a:t>(connected) +𝛽(mover × connected) + …</a:t>
          </a:r>
          <a:endParaRPr lang="en-US" sz="1200">
            <a:latin typeface="Arial" panose="020B0604020202020204" pitchFamily="34" charset="0"/>
            <a:ea typeface="Cambria Math" panose="02040503050406030204" pitchFamily="18" charset="0"/>
            <a:cs typeface="Arial" panose="020B0604020202020204" pitchFamily="34" charset="0"/>
          </a:endParaRP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…Non-mover, non-connected (0,0):</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(0)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(0) +𝛽(0 × 0) = 𝛽</a:t>
          </a:r>
          <a:r>
            <a:rPr lang="en-US" sz="1200" baseline="-25%">
              <a:latin typeface="Arial" panose="020B0604020202020204" pitchFamily="34" charset="0"/>
              <a:ea typeface="Cambria Math" panose="02040503050406030204" pitchFamily="18" charset="0"/>
              <a:cs typeface="Arial" panose="020B0604020202020204" pitchFamily="34" charset="0"/>
            </a:rPr>
            <a:t>0</a:t>
          </a:r>
          <a:endParaRPr lang="en-US" sz="1200">
            <a:latin typeface="Arial" panose="020B0604020202020204" pitchFamily="34" charset="0"/>
            <a:ea typeface="Cambria Math" panose="02040503050406030204" pitchFamily="18" charset="0"/>
            <a:cs typeface="Arial" panose="020B0604020202020204" pitchFamily="34" charset="0"/>
          </a:endParaRP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…Mover, non-connected (1,0):</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(0) +𝛽(1 × 0)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 -1.459 = exp(-1.459) = 0.232 </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…Non-mover, connected (0,1):</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(0)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+𝛽(0 × 1)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 -0.486 = exp(-0.486) = 0.615</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…Mover, connected (1, 1):</a:t>
          </a:r>
        </a:p>
        <a:p>
          <a:pPr algn="ctr">
            <a:lnSpc>
              <a:spcPts val="1780"/>
            </a:lnSpc>
          </a:pPr>
          <a:r>
            <a:rPr lang="en-US" sz="1200">
              <a:latin typeface="Arial" panose="020B0604020202020204" pitchFamily="34" charset="0"/>
              <a:ea typeface="Cambria Math" panose="02040503050406030204" pitchFamily="18" charset="0"/>
              <a:cs typeface="Arial" panose="020B0604020202020204" pitchFamily="34" charset="0"/>
            </a:rPr>
            <a:t>logit(</a:t>
          </a:r>
          <a:r>
            <a:rPr lang="en-US" sz="1200" i="1">
              <a:latin typeface="Arial" panose="020B0604020202020204" pitchFamily="34" charset="0"/>
              <a:ea typeface="Cambria Math" panose="02040503050406030204" pitchFamily="18" charset="0"/>
              <a:cs typeface="Arial" panose="020B0604020202020204" pitchFamily="34" charset="0"/>
            </a:rPr>
            <a:t>p</a:t>
          </a:r>
          <a:r>
            <a:rPr lang="en-US" sz="1200">
              <a:latin typeface="Arial" panose="020B0604020202020204" pitchFamily="34" charset="0"/>
              <a:ea typeface="Cambria Math" panose="02040503050406030204" pitchFamily="18" charset="0"/>
              <a:cs typeface="Arial" panose="020B0604020202020204" pitchFamily="34" charset="0"/>
            </a:rPr>
            <a:t>) = 𝛽</a:t>
          </a:r>
          <a:r>
            <a:rPr lang="en-US" sz="1200" baseline="-25%">
              <a:latin typeface="Arial" panose="020B0604020202020204" pitchFamily="34" charset="0"/>
              <a:ea typeface="Cambria Math" panose="02040503050406030204" pitchFamily="18" charset="0"/>
              <a:cs typeface="Arial" panose="020B0604020202020204" pitchFamily="34" charset="0"/>
            </a:rPr>
            <a:t>0</a:t>
          </a:r>
          <a:r>
            <a:rPr lang="en-US" sz="1200">
              <a:latin typeface="Arial" panose="020B0604020202020204" pitchFamily="34" charset="0"/>
              <a:ea typeface="Cambria Math" panose="02040503050406030204" pitchFamily="18" charset="0"/>
              <a:cs typeface="Arial" panose="020B0604020202020204" pitchFamily="34" charset="0"/>
            </a:rPr>
            <a:t>+𝛽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+𝛽(1 × 1) = 𝛽</a:t>
          </a:r>
          <a:r>
            <a:rPr lang="en-US" sz="1200" baseline="-25%">
              <a:latin typeface="Arial" panose="020B0604020202020204" pitchFamily="34" charset="0"/>
              <a:ea typeface="Cambria Math" panose="02040503050406030204" pitchFamily="18" charset="0"/>
              <a:cs typeface="Arial" panose="020B0604020202020204" pitchFamily="34" charset="0"/>
            </a:rPr>
            <a:t>0 </a:t>
          </a:r>
          <a:r>
            <a:rPr lang="en-US" sz="1200">
              <a:latin typeface="Arial" panose="020B0604020202020204" pitchFamily="34" charset="0"/>
              <a:ea typeface="Cambria Math" panose="02040503050406030204" pitchFamily="18" charset="0"/>
              <a:cs typeface="Arial" panose="020B0604020202020204" pitchFamily="34" charset="0"/>
            </a:rPr>
            <a:t>+ 𝛽</a:t>
          </a:r>
          <a:r>
            <a:rPr lang="en-US" sz="1200" baseline="-25%">
              <a:latin typeface="Arial" panose="020B0604020202020204" pitchFamily="34" charset="0"/>
              <a:ea typeface="Cambria Math" panose="02040503050406030204" pitchFamily="18" charset="0"/>
              <a:cs typeface="Arial" panose="020B0604020202020204" pitchFamily="34" charset="0"/>
            </a:rPr>
            <a:t>1</a:t>
          </a:r>
          <a:r>
            <a:rPr lang="en-US" sz="1200">
              <a:latin typeface="Arial" panose="020B0604020202020204" pitchFamily="34" charset="0"/>
              <a:ea typeface="Cambria Math" panose="02040503050406030204" pitchFamily="18" charset="0"/>
              <a:cs typeface="Arial" panose="020B0604020202020204" pitchFamily="34" charset="0"/>
            </a:rPr>
            <a:t>(1) +𝛽</a:t>
          </a:r>
          <a:r>
            <a:rPr lang="en-US" sz="1200" baseline="-25%">
              <a:latin typeface="Arial" panose="020B0604020202020204" pitchFamily="34" charset="0"/>
              <a:ea typeface="Cambria Math" panose="02040503050406030204" pitchFamily="18" charset="0"/>
              <a:cs typeface="Arial" panose="020B0604020202020204" pitchFamily="34" charset="0"/>
            </a:rPr>
            <a:t>2</a:t>
          </a:r>
          <a:r>
            <a:rPr lang="en-US" sz="1200">
              <a:latin typeface="Arial" panose="020B0604020202020204" pitchFamily="34" charset="0"/>
              <a:ea typeface="Cambria Math" panose="02040503050406030204" pitchFamily="18" charset="0"/>
              <a:cs typeface="Arial" panose="020B0604020202020204" pitchFamily="34" charset="0"/>
            </a:rPr>
            <a:t>(1) +𝛽(1 × 1) = -1.459 - 0.486 + 1.643 = -0.302 = exp(-0.302) = 0.739</a:t>
          </a:r>
        </a:p>
      </xdr:txBody>
    </xdr:sp>
    <xdr:clientData/>
  </xdr:twoCellAnchor>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purl.oclc.org/ooxml/officeDocument/relationships/drawing" Target="../drawings/drawing1.xml"/></Relationships>
</file>

<file path=xl/worksheets/_rels/sheet6.xml.rels><?xml version="1.0" encoding="UTF-8" standalone="yes"?>
<Relationships xmlns="http://schemas.openxmlformats.org/package/2006/relationships"><Relationship Id="rId1"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2DF0-54E6-8547-9423-8992E13BA7CB}">
  <dimension ref="A1:G18"/>
  <sheetViews>
    <sheetView workbookViewId="0">
      <selection sqref="A1:G19"/>
    </sheetView>
  </sheetViews>
  <sheetFormatPr baseColWidth="10" defaultRowHeight="16" x14ac:dyDescent="0.2"/>
  <cols>
    <col min="1" max="1" width="31.5" bestFit="1" customWidth="1"/>
    <col min="2" max="2" width="18.6640625" bestFit="1" customWidth="1"/>
    <col min="3" max="3" width="18.83203125" bestFit="1" customWidth="1"/>
    <col min="6" max="6" width="35.5" bestFit="1" customWidth="1"/>
    <col min="7" max="7" width="28.83203125" customWidth="1"/>
  </cols>
  <sheetData>
    <row r="1" spans="1:7" x14ac:dyDescent="0.2">
      <c r="A1" t="s">
        <v>118</v>
      </c>
    </row>
    <row r="2" spans="1:7" x14ac:dyDescent="0.2">
      <c r="A2" s="29" t="s">
        <v>110</v>
      </c>
      <c r="B2" s="29" t="s">
        <v>95</v>
      </c>
      <c r="C2" s="29" t="s">
        <v>111</v>
      </c>
      <c r="D2" s="29" t="s">
        <v>114</v>
      </c>
      <c r="E2" s="29" t="s">
        <v>115</v>
      </c>
      <c r="F2" s="29" t="s">
        <v>116</v>
      </c>
      <c r="G2" s="29" t="s">
        <v>117</v>
      </c>
    </row>
    <row r="3" spans="1:7" x14ac:dyDescent="0.2">
      <c r="A3" t="s">
        <v>104</v>
      </c>
      <c r="B3" t="s">
        <v>84</v>
      </c>
      <c r="C3" t="s">
        <v>112</v>
      </c>
      <c r="F3" s="27" t="s">
        <v>103</v>
      </c>
    </row>
    <row r="4" spans="1:7" x14ac:dyDescent="0.2">
      <c r="A4" t="s">
        <v>105</v>
      </c>
      <c r="B4" t="s">
        <v>84</v>
      </c>
      <c r="C4" t="s">
        <v>112</v>
      </c>
      <c r="F4" s="27" t="s">
        <v>103</v>
      </c>
    </row>
    <row r="5" spans="1:7" x14ac:dyDescent="0.2">
      <c r="A5" t="s">
        <v>40</v>
      </c>
      <c r="B5" t="s">
        <v>106</v>
      </c>
      <c r="C5" t="s">
        <v>113</v>
      </c>
    </row>
    <row r="6" spans="1:7" x14ac:dyDescent="0.2">
      <c r="A6" t="s">
        <v>108</v>
      </c>
      <c r="B6" t="s">
        <v>106</v>
      </c>
      <c r="C6" t="s">
        <v>113</v>
      </c>
      <c r="F6" s="27" t="s">
        <v>107</v>
      </c>
    </row>
    <row r="7" spans="1:7" x14ac:dyDescent="0.2">
      <c r="A7" t="s">
        <v>109</v>
      </c>
      <c r="B7" t="s">
        <v>106</v>
      </c>
      <c r="C7" t="s">
        <v>113</v>
      </c>
      <c r="F7" s="27" t="s">
        <v>107</v>
      </c>
    </row>
    <row r="8" spans="1:7" x14ac:dyDescent="0.2">
      <c r="A8" t="s">
        <v>15</v>
      </c>
      <c r="B8" t="s">
        <v>90</v>
      </c>
      <c r="C8" t="s">
        <v>113</v>
      </c>
      <c r="F8" t="s">
        <v>102</v>
      </c>
    </row>
    <row r="9" spans="1:7" x14ac:dyDescent="0.2">
      <c r="A9" t="s">
        <v>30</v>
      </c>
      <c r="B9" t="s">
        <v>90</v>
      </c>
      <c r="C9" t="s">
        <v>113</v>
      </c>
    </row>
    <row r="10" spans="1:7" x14ac:dyDescent="0.2">
      <c r="A10" t="s">
        <v>91</v>
      </c>
      <c r="B10" t="s">
        <v>90</v>
      </c>
      <c r="C10" t="s">
        <v>113</v>
      </c>
    </row>
    <row r="11" spans="1:7" x14ac:dyDescent="0.2">
      <c r="A11" t="s">
        <v>89</v>
      </c>
      <c r="B11" t="s">
        <v>90</v>
      </c>
      <c r="C11" t="s">
        <v>113</v>
      </c>
    </row>
    <row r="12" spans="1:7" x14ac:dyDescent="0.2">
      <c r="A12" t="s">
        <v>88</v>
      </c>
      <c r="B12" t="s">
        <v>87</v>
      </c>
      <c r="C12" t="s">
        <v>113</v>
      </c>
    </row>
    <row r="13" spans="1:7" x14ac:dyDescent="0.2">
      <c r="A13" t="s">
        <v>86</v>
      </c>
      <c r="B13" t="s">
        <v>87</v>
      </c>
      <c r="C13" t="s">
        <v>113</v>
      </c>
    </row>
    <row r="14" spans="1:7" x14ac:dyDescent="0.2">
      <c r="A14" t="s">
        <v>94</v>
      </c>
      <c r="B14" t="s">
        <v>85</v>
      </c>
      <c r="C14" t="s">
        <v>113</v>
      </c>
      <c r="F14" t="s">
        <v>96</v>
      </c>
      <c r="G14" t="s">
        <v>99</v>
      </c>
    </row>
    <row r="15" spans="1:7" x14ac:dyDescent="0.2">
      <c r="A15" t="s">
        <v>93</v>
      </c>
      <c r="B15" t="s">
        <v>85</v>
      </c>
      <c r="C15" t="s">
        <v>113</v>
      </c>
      <c r="F15" t="s">
        <v>96</v>
      </c>
      <c r="G15" t="s">
        <v>100</v>
      </c>
    </row>
    <row r="16" spans="1:7" x14ac:dyDescent="0.2">
      <c r="A16" t="s">
        <v>92</v>
      </c>
      <c r="B16" t="s">
        <v>85</v>
      </c>
      <c r="C16" t="s">
        <v>113</v>
      </c>
      <c r="F16" t="s">
        <v>101</v>
      </c>
    </row>
    <row r="17" spans="1:7" x14ac:dyDescent="0.2">
      <c r="A17" s="28" t="s">
        <v>98</v>
      </c>
      <c r="B17" s="28" t="s">
        <v>85</v>
      </c>
      <c r="C17" s="28" t="s">
        <v>112</v>
      </c>
      <c r="D17" s="28"/>
      <c r="E17" s="28"/>
      <c r="F17" s="28"/>
      <c r="G17" s="28"/>
    </row>
    <row r="18" spans="1:7" x14ac:dyDescent="0.2">
      <c r="A18" t="s">
        <v>97</v>
      </c>
    </row>
  </sheetData>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5FB7A-5EB6-6F46-B250-9BD257154225}">
  <dimension ref="A1:K112"/>
  <sheetViews>
    <sheetView topLeftCell="X1" workbookViewId="0">
      <selection activeCell="D9" sqref="D9:H11"/>
    </sheetView>
  </sheetViews>
  <sheetFormatPr baseColWidth="10" defaultRowHeight="16" x14ac:dyDescent="0.2"/>
  <cols>
    <col min="3" max="3" width="91.5" bestFit="1" customWidth="1"/>
    <col min="4" max="4" width="23.5" customWidth="1"/>
  </cols>
  <sheetData>
    <row r="1" spans="1:11" x14ac:dyDescent="0.2">
      <c r="B1" t="s">
        <v>0</v>
      </c>
      <c r="C1" t="s">
        <v>1</v>
      </c>
      <c r="D1" t="s">
        <v>2</v>
      </c>
      <c r="E1" t="s">
        <v>3</v>
      </c>
      <c r="F1" t="s">
        <v>4</v>
      </c>
      <c r="G1" t="s">
        <v>5</v>
      </c>
      <c r="H1" t="s">
        <v>6</v>
      </c>
      <c r="I1" t="s">
        <v>7</v>
      </c>
      <c r="J1" t="s">
        <v>8</v>
      </c>
      <c r="K1" t="s">
        <v>9</v>
      </c>
    </row>
    <row r="2" spans="1:11" x14ac:dyDescent="0.2">
      <c r="A2">
        <v>4</v>
      </c>
      <c r="B2" t="s">
        <v>10</v>
      </c>
      <c r="C2" t="s">
        <v>11</v>
      </c>
      <c r="D2" t="s">
        <v>12</v>
      </c>
      <c r="E2">
        <v>0.62039678139909105</v>
      </c>
      <c r="F2">
        <v>0.32828092756757199</v>
      </c>
      <c r="G2">
        <v>0.62039678139909105</v>
      </c>
      <c r="H2">
        <v>0.91251263523060899</v>
      </c>
      <c r="I2">
        <v>0.62039678139909105</v>
      </c>
      <c r="J2">
        <v>0.14904143960587601</v>
      </c>
      <c r="K2">
        <v>364.020625307795</v>
      </c>
    </row>
    <row r="3" spans="1:11" x14ac:dyDescent="0.2">
      <c r="A3">
        <v>5</v>
      </c>
      <c r="B3" t="s">
        <v>10</v>
      </c>
      <c r="C3" t="s">
        <v>11</v>
      </c>
      <c r="D3" t="s">
        <v>13</v>
      </c>
      <c r="E3">
        <v>0.48070000734988899</v>
      </c>
      <c r="F3">
        <v>0.18855540259349099</v>
      </c>
      <c r="G3">
        <v>0.48070000734988899</v>
      </c>
      <c r="H3">
        <v>0.77284461210628597</v>
      </c>
      <c r="I3">
        <v>0.48070000734988899</v>
      </c>
      <c r="J3">
        <v>0.149056108714648</v>
      </c>
      <c r="K3">
        <v>364.020625307795</v>
      </c>
    </row>
    <row r="4" spans="1:11" x14ac:dyDescent="0.2">
      <c r="A4">
        <v>2</v>
      </c>
      <c r="B4" t="s">
        <v>10</v>
      </c>
      <c r="C4" t="s">
        <v>11</v>
      </c>
      <c r="D4" t="s">
        <v>14</v>
      </c>
      <c r="E4">
        <v>-1.2903547436095899</v>
      </c>
      <c r="F4">
        <v>-2.49156416796776</v>
      </c>
      <c r="G4">
        <v>-1.2903547436095899</v>
      </c>
      <c r="H4">
        <v>-8.9145319251410296E-2</v>
      </c>
      <c r="I4">
        <v>-1.2903547436095899</v>
      </c>
      <c r="J4">
        <v>0.61287321289225805</v>
      </c>
      <c r="K4">
        <v>364.020625307795</v>
      </c>
    </row>
    <row r="5" spans="1:11" x14ac:dyDescent="0.2">
      <c r="A5">
        <v>3</v>
      </c>
      <c r="B5" t="s">
        <v>10</v>
      </c>
      <c r="C5" t="s">
        <v>11</v>
      </c>
      <c r="D5" t="s">
        <v>15</v>
      </c>
      <c r="E5">
        <v>-0.63637545272524398</v>
      </c>
      <c r="F5">
        <v>-1.2525740520459001</v>
      </c>
      <c r="G5">
        <v>-0.63637545272524398</v>
      </c>
      <c r="H5">
        <v>-2.01768534045936E-2</v>
      </c>
      <c r="I5">
        <v>-0.63637545272524398</v>
      </c>
      <c r="J5">
        <v>0.31439281751151898</v>
      </c>
      <c r="K5">
        <v>364.020625307795</v>
      </c>
    </row>
    <row r="6" spans="1:11" x14ac:dyDescent="0.2">
      <c r="A6">
        <v>6</v>
      </c>
      <c r="B6" t="s">
        <v>10</v>
      </c>
      <c r="C6" t="s">
        <v>11</v>
      </c>
      <c r="D6" t="s">
        <v>16</v>
      </c>
      <c r="E6">
        <v>1.6357986103751201</v>
      </c>
      <c r="F6">
        <v>0.25342577975337299</v>
      </c>
      <c r="G6">
        <v>1.6357986103751201</v>
      </c>
      <c r="H6">
        <v>3.0181714409968698</v>
      </c>
      <c r="I6">
        <v>1.6357986103751201</v>
      </c>
      <c r="J6">
        <v>0.70530522067024304</v>
      </c>
      <c r="K6">
        <v>364.020625307795</v>
      </c>
    </row>
    <row r="7" spans="1:11" x14ac:dyDescent="0.2">
      <c r="A7">
        <v>7</v>
      </c>
      <c r="B7" t="s">
        <v>17</v>
      </c>
      <c r="C7" t="s">
        <v>18</v>
      </c>
      <c r="D7" t="s">
        <v>12</v>
      </c>
      <c r="E7">
        <v>0.61884116289645696</v>
      </c>
      <c r="F7">
        <v>0.29329187464395701</v>
      </c>
      <c r="G7">
        <v>0.61810405330661</v>
      </c>
      <c r="H7">
        <v>0.94862693792286001</v>
      </c>
      <c r="I7">
        <v>0.618113440119758</v>
      </c>
      <c r="J7">
        <v>0.167031598168491</v>
      </c>
      <c r="K7">
        <v>329.879655931081</v>
      </c>
    </row>
    <row r="8" spans="1:11" x14ac:dyDescent="0.2">
      <c r="A8">
        <v>8</v>
      </c>
      <c r="B8" t="s">
        <v>17</v>
      </c>
      <c r="C8" t="s">
        <v>18</v>
      </c>
      <c r="D8" t="s">
        <v>13</v>
      </c>
      <c r="E8">
        <v>0.60532106424626297</v>
      </c>
      <c r="F8">
        <v>0.27227059819048</v>
      </c>
      <c r="G8">
        <v>0.60426074527410001</v>
      </c>
      <c r="H8">
        <v>0.94447682683560996</v>
      </c>
      <c r="I8">
        <v>0.60427713868172706</v>
      </c>
      <c r="J8">
        <v>0.17131755045782701</v>
      </c>
      <c r="K8">
        <v>329.879655931081</v>
      </c>
    </row>
    <row r="9" spans="1:11" x14ac:dyDescent="0.2">
      <c r="A9">
        <v>12</v>
      </c>
      <c r="B9" t="s">
        <v>17</v>
      </c>
      <c r="C9" t="s">
        <v>18</v>
      </c>
      <c r="D9" t="s">
        <v>14</v>
      </c>
      <c r="E9">
        <v>-1.4430892288093899</v>
      </c>
      <c r="F9">
        <v>-2.7322005472022202</v>
      </c>
      <c r="G9">
        <v>-1.44207036462625</v>
      </c>
      <c r="H9">
        <v>-0.15980833238557501</v>
      </c>
      <c r="I9">
        <v>-1.4420747822872599</v>
      </c>
      <c r="J9">
        <v>0.65583814511808403</v>
      </c>
      <c r="K9">
        <v>329.879655931081</v>
      </c>
    </row>
    <row r="10" spans="1:11" x14ac:dyDescent="0.2">
      <c r="A10">
        <v>13</v>
      </c>
      <c r="B10" t="s">
        <v>17</v>
      </c>
      <c r="C10" t="s">
        <v>18</v>
      </c>
      <c r="D10" t="s">
        <v>15</v>
      </c>
      <c r="E10">
        <v>-0.475323316137088</v>
      </c>
      <c r="F10">
        <v>-1.1574215182413901</v>
      </c>
      <c r="G10">
        <v>-0.47473558848786801</v>
      </c>
      <c r="H10">
        <v>0.20337518355170101</v>
      </c>
      <c r="I10">
        <v>-0.47474942757712901</v>
      </c>
      <c r="J10">
        <v>0.34688496971062399</v>
      </c>
      <c r="K10">
        <v>329.879655931081</v>
      </c>
    </row>
    <row r="11" spans="1:11" x14ac:dyDescent="0.2">
      <c r="A11">
        <v>10</v>
      </c>
      <c r="B11" t="s">
        <v>17</v>
      </c>
      <c r="C11" t="s">
        <v>18</v>
      </c>
      <c r="D11" t="s">
        <v>16</v>
      </c>
      <c r="E11">
        <v>1.6342749278798201</v>
      </c>
      <c r="F11">
        <v>0.14966249659695699</v>
      </c>
      <c r="G11">
        <v>1.63380980377248</v>
      </c>
      <c r="H11">
        <v>3.1215499302979701</v>
      </c>
      <c r="I11">
        <v>1.6338120986167199</v>
      </c>
      <c r="J11">
        <v>0.75770133249157801</v>
      </c>
      <c r="K11">
        <v>329.879655931081</v>
      </c>
    </row>
    <row r="12" spans="1:11" x14ac:dyDescent="0.2">
      <c r="A12">
        <v>14</v>
      </c>
      <c r="B12" t="s">
        <v>17</v>
      </c>
      <c r="C12" t="s">
        <v>18</v>
      </c>
      <c r="D12" t="s">
        <v>19</v>
      </c>
      <c r="E12">
        <v>3468.4762087406302</v>
      </c>
      <c r="F12">
        <v>1235.1245567670101</v>
      </c>
      <c r="G12">
        <v>3035.35544744769</v>
      </c>
      <c r="H12">
        <v>8292.7776814623703</v>
      </c>
      <c r="I12">
        <v>2356.0817534357102</v>
      </c>
      <c r="J12">
        <v>1856.7464229664299</v>
      </c>
      <c r="K12">
        <v>329.879655931081</v>
      </c>
    </row>
    <row r="13" spans="1:11" x14ac:dyDescent="0.2">
      <c r="A13">
        <v>11</v>
      </c>
      <c r="B13" t="s">
        <v>17</v>
      </c>
      <c r="C13" t="s">
        <v>18</v>
      </c>
      <c r="D13" t="s">
        <v>20</v>
      </c>
      <c r="E13">
        <v>1.0980551625247099</v>
      </c>
      <c r="F13">
        <v>0.63608041911403801</v>
      </c>
      <c r="G13">
        <v>1.0653642710944</v>
      </c>
      <c r="H13">
        <v>1.74826993175898</v>
      </c>
      <c r="I13">
        <v>1.0052145148551901</v>
      </c>
      <c r="J13">
        <v>0.28454285670163998</v>
      </c>
      <c r="K13">
        <v>329.879655931081</v>
      </c>
    </row>
    <row r="14" spans="1:11" x14ac:dyDescent="0.2">
      <c r="A14">
        <v>16</v>
      </c>
      <c r="B14" t="s">
        <v>21</v>
      </c>
      <c r="C14" t="s">
        <v>22</v>
      </c>
      <c r="D14" t="s">
        <v>12</v>
      </c>
      <c r="E14">
        <v>0.629412647535874</v>
      </c>
      <c r="F14">
        <v>0.30585917299923199</v>
      </c>
      <c r="G14">
        <v>0.62867761658909704</v>
      </c>
      <c r="H14">
        <v>0.95718913608673295</v>
      </c>
      <c r="I14">
        <v>0.62868645968183701</v>
      </c>
      <c r="J14">
        <v>0.16601300049086601</v>
      </c>
      <c r="K14">
        <v>332.03528324834298</v>
      </c>
    </row>
    <row r="15" spans="1:11" x14ac:dyDescent="0.2">
      <c r="A15">
        <v>17</v>
      </c>
      <c r="B15" t="s">
        <v>21</v>
      </c>
      <c r="C15" t="s">
        <v>22</v>
      </c>
      <c r="D15" t="s">
        <v>13</v>
      </c>
      <c r="E15">
        <v>0.58090555917643805</v>
      </c>
      <c r="F15">
        <v>0.25267231036785298</v>
      </c>
      <c r="G15">
        <v>0.57992598670652595</v>
      </c>
      <c r="H15">
        <v>0.91477778647636798</v>
      </c>
      <c r="I15">
        <v>0.57994060998058805</v>
      </c>
      <c r="J15">
        <v>0.16874892611859299</v>
      </c>
      <c r="K15">
        <v>332.03528324834298</v>
      </c>
    </row>
    <row r="16" spans="1:11" x14ac:dyDescent="0.2">
      <c r="A16">
        <v>18</v>
      </c>
      <c r="B16" t="s">
        <v>21</v>
      </c>
      <c r="C16" t="s">
        <v>22</v>
      </c>
      <c r="D16" t="s">
        <v>14</v>
      </c>
      <c r="E16">
        <v>-0.30188231629075901</v>
      </c>
      <c r="F16">
        <v>-0.99212834121143001</v>
      </c>
      <c r="G16">
        <v>-0.30073374697772298</v>
      </c>
      <c r="H16">
        <v>0.38180019267174198</v>
      </c>
      <c r="I16">
        <v>-0.300736981360061</v>
      </c>
      <c r="J16">
        <v>0.35023690233607002</v>
      </c>
      <c r="K16">
        <v>332.03528324834298</v>
      </c>
    </row>
    <row r="17" spans="1:11" x14ac:dyDescent="0.2">
      <c r="A17">
        <v>19</v>
      </c>
      <c r="B17" t="s">
        <v>21</v>
      </c>
      <c r="C17" t="s">
        <v>22</v>
      </c>
      <c r="D17" t="s">
        <v>15</v>
      </c>
      <c r="E17">
        <v>-0.12724723046108699</v>
      </c>
      <c r="F17">
        <v>-0.72804580656809204</v>
      </c>
      <c r="G17">
        <v>-0.12681173594723399</v>
      </c>
      <c r="H17">
        <v>0.47102913342368502</v>
      </c>
      <c r="I17">
        <v>-0.12682285171671701</v>
      </c>
      <c r="J17">
        <v>0.30566511082216602</v>
      </c>
      <c r="K17">
        <v>332.03528324834298</v>
      </c>
    </row>
    <row r="18" spans="1:11" x14ac:dyDescent="0.2">
      <c r="A18">
        <v>20</v>
      </c>
      <c r="B18" t="s">
        <v>21</v>
      </c>
      <c r="C18" t="s">
        <v>22</v>
      </c>
      <c r="D18" t="s">
        <v>19</v>
      </c>
      <c r="E18">
        <v>3401.4870150409702</v>
      </c>
      <c r="F18">
        <v>1214.02468266403</v>
      </c>
      <c r="G18">
        <v>2980.81767445995</v>
      </c>
      <c r="H18">
        <v>8103.5078503208497</v>
      </c>
      <c r="I18">
        <v>2318.7594154916601</v>
      </c>
      <c r="J18">
        <v>1811.4950580883201</v>
      </c>
      <c r="K18">
        <v>332.03528324834298</v>
      </c>
    </row>
    <row r="19" spans="1:11" x14ac:dyDescent="0.2">
      <c r="A19">
        <v>21</v>
      </c>
      <c r="B19" t="s">
        <v>21</v>
      </c>
      <c r="C19" t="s">
        <v>22</v>
      </c>
      <c r="D19" t="s">
        <v>20</v>
      </c>
      <c r="E19">
        <v>1.09542001632372</v>
      </c>
      <c r="F19">
        <v>0.63833690015071898</v>
      </c>
      <c r="G19">
        <v>1.0634291386050601</v>
      </c>
      <c r="H19">
        <v>1.73671099713512</v>
      </c>
      <c r="I19">
        <v>1.0045604158743999</v>
      </c>
      <c r="J19">
        <v>0.28096649243565902</v>
      </c>
      <c r="K19">
        <v>332.03528324834298</v>
      </c>
    </row>
    <row r="20" spans="1:11" x14ac:dyDescent="0.2">
      <c r="A20">
        <v>210</v>
      </c>
      <c r="B20" t="s">
        <v>23</v>
      </c>
      <c r="C20" t="s">
        <v>24</v>
      </c>
      <c r="D20" t="s">
        <v>14</v>
      </c>
      <c r="E20">
        <v>0.50236620049138303</v>
      </c>
      <c r="F20">
        <v>-1.23545002347897</v>
      </c>
      <c r="G20">
        <v>0.50236620049138303</v>
      </c>
      <c r="H20">
        <v>2.2401824244617399</v>
      </c>
      <c r="I20">
        <v>0.50236620049138303</v>
      </c>
      <c r="J20">
        <v>0.88665722313166495</v>
      </c>
      <c r="K20">
        <v>60.086264782178098</v>
      </c>
    </row>
    <row r="21" spans="1:11" x14ac:dyDescent="0.2">
      <c r="A21">
        <v>310</v>
      </c>
      <c r="B21" t="s">
        <v>23</v>
      </c>
      <c r="C21" t="s">
        <v>24</v>
      </c>
      <c r="D21" t="s">
        <v>15</v>
      </c>
      <c r="E21">
        <v>-2.6370699832858202</v>
      </c>
      <c r="F21">
        <v>-4.7954199782484297</v>
      </c>
      <c r="G21">
        <v>-2.6370699832858202</v>
      </c>
      <c r="H21">
        <v>-0.478719988323207</v>
      </c>
      <c r="I21">
        <v>-2.6370699832858202</v>
      </c>
      <c r="J21">
        <v>1.1012192121831801</v>
      </c>
      <c r="K21">
        <v>60.086264782178098</v>
      </c>
    </row>
    <row r="22" spans="1:11" x14ac:dyDescent="0.2">
      <c r="A22">
        <v>111</v>
      </c>
      <c r="B22" t="s">
        <v>25</v>
      </c>
      <c r="C22" t="s">
        <v>26</v>
      </c>
      <c r="D22" t="s">
        <v>25</v>
      </c>
      <c r="E22">
        <v>-0.88300738328932704</v>
      </c>
      <c r="F22">
        <v>-2.1241290750808499</v>
      </c>
      <c r="G22">
        <v>-0.92220284449923495</v>
      </c>
      <c r="H22">
        <v>0.108052601183559</v>
      </c>
      <c r="I22">
        <v>-0.161199632424188</v>
      </c>
      <c r="J22">
        <v>0.64122346900392402</v>
      </c>
      <c r="K22">
        <v>222.751602779633</v>
      </c>
    </row>
    <row r="23" spans="1:11" x14ac:dyDescent="0.2">
      <c r="A23">
        <v>311</v>
      </c>
      <c r="B23" t="s">
        <v>25</v>
      </c>
      <c r="C23" t="s">
        <v>26</v>
      </c>
      <c r="D23" t="s">
        <v>27</v>
      </c>
      <c r="E23">
        <v>0.71927409313516999</v>
      </c>
      <c r="F23">
        <v>0.39797815825657101</v>
      </c>
      <c r="G23">
        <v>0.73847954788509196</v>
      </c>
      <c r="H23">
        <v>0.947659289957972</v>
      </c>
      <c r="I23">
        <v>0.80613074147337105</v>
      </c>
      <c r="J23">
        <v>0.14782043459057601</v>
      </c>
      <c r="K23">
        <v>222.751602779633</v>
      </c>
    </row>
    <row r="24" spans="1:11" x14ac:dyDescent="0.2">
      <c r="A24">
        <v>410</v>
      </c>
      <c r="B24" t="s">
        <v>25</v>
      </c>
      <c r="C24" t="s">
        <v>26</v>
      </c>
      <c r="D24" t="s">
        <v>19</v>
      </c>
      <c r="E24">
        <v>337.08158654241601</v>
      </c>
      <c r="F24">
        <v>131.01968167635101</v>
      </c>
      <c r="G24">
        <v>310.13882485673503</v>
      </c>
      <c r="H24">
        <v>699.28811515880102</v>
      </c>
      <c r="I24">
        <v>261.40551646144502</v>
      </c>
      <c r="J24">
        <v>147.384770297617</v>
      </c>
      <c r="K24">
        <v>222.751602779633</v>
      </c>
    </row>
    <row r="25" spans="1:11" x14ac:dyDescent="0.2">
      <c r="A25">
        <v>211</v>
      </c>
      <c r="B25" t="s">
        <v>25</v>
      </c>
      <c r="C25" t="s">
        <v>26</v>
      </c>
      <c r="D25" t="s">
        <v>20</v>
      </c>
      <c r="E25">
        <v>3.1535290097203501</v>
      </c>
      <c r="F25">
        <v>1.55947545069158</v>
      </c>
      <c r="G25">
        <v>3.0201959062033699</v>
      </c>
      <c r="H25">
        <v>5.5085217937362199</v>
      </c>
      <c r="I25">
        <v>2.77823036150627</v>
      </c>
      <c r="J25">
        <v>1.0143115339881099</v>
      </c>
      <c r="K25">
        <v>222.751602779633</v>
      </c>
    </row>
    <row r="26" spans="1:11" x14ac:dyDescent="0.2">
      <c r="A26">
        <v>510</v>
      </c>
      <c r="B26" t="s">
        <v>28</v>
      </c>
      <c r="C26" t="s">
        <v>29</v>
      </c>
      <c r="D26" t="s">
        <v>30</v>
      </c>
      <c r="E26">
        <v>-0.35895579086729001</v>
      </c>
      <c r="F26">
        <v>-0.67912225653007796</v>
      </c>
      <c r="G26">
        <v>-0.358277337092963</v>
      </c>
      <c r="H26">
        <v>-4.2682055166595498E-2</v>
      </c>
      <c r="I26">
        <v>-0.358283713342121</v>
      </c>
      <c r="J26">
        <v>0.16223101679291199</v>
      </c>
      <c r="K26">
        <v>339.01173945267999</v>
      </c>
    </row>
    <row r="27" spans="1:11" x14ac:dyDescent="0.2">
      <c r="A27">
        <v>710</v>
      </c>
      <c r="B27" t="s">
        <v>28</v>
      </c>
      <c r="C27" t="s">
        <v>29</v>
      </c>
      <c r="D27" t="s">
        <v>28</v>
      </c>
      <c r="E27">
        <v>0.92311742130971297</v>
      </c>
      <c r="F27">
        <v>0.88902449111804804</v>
      </c>
      <c r="G27">
        <v>0.92419922916456299</v>
      </c>
      <c r="H27">
        <v>0.95096219448816299</v>
      </c>
      <c r="I27">
        <v>0.92636900667533895</v>
      </c>
      <c r="J27">
        <v>1.58594995890265E-2</v>
      </c>
      <c r="K27">
        <v>339.01173945267999</v>
      </c>
    </row>
    <row r="28" spans="1:11" x14ac:dyDescent="0.2">
      <c r="A28">
        <v>91</v>
      </c>
      <c r="B28" t="s">
        <v>31</v>
      </c>
      <c r="C28" t="s">
        <v>32</v>
      </c>
      <c r="D28" t="s">
        <v>33</v>
      </c>
      <c r="E28">
        <v>-0.95992959623713503</v>
      </c>
      <c r="F28">
        <v>-1.6038555662581699</v>
      </c>
      <c r="G28">
        <v>-0.95934027563352497</v>
      </c>
      <c r="H28">
        <v>-0.31938009571968601</v>
      </c>
      <c r="I28">
        <v>-0.95934412948466197</v>
      </c>
      <c r="J28">
        <v>0.32746991531519198</v>
      </c>
      <c r="K28">
        <v>312.70098574701302</v>
      </c>
    </row>
    <row r="29" spans="1:11" x14ac:dyDescent="0.2">
      <c r="A29">
        <v>101</v>
      </c>
      <c r="B29" t="s">
        <v>31</v>
      </c>
      <c r="C29" t="s">
        <v>32</v>
      </c>
      <c r="D29" t="s">
        <v>31</v>
      </c>
      <c r="E29">
        <v>0.92504518677301495</v>
      </c>
      <c r="F29">
        <v>0.89251110076698803</v>
      </c>
      <c r="G29">
        <v>0.926019947968724</v>
      </c>
      <c r="H29">
        <v>0.95193440653285999</v>
      </c>
      <c r="I29">
        <v>0.92799597776269005</v>
      </c>
      <c r="J29">
        <v>1.5216234943924101E-2</v>
      </c>
      <c r="K29">
        <v>312.70098574701302</v>
      </c>
    </row>
    <row r="30" spans="1:11" x14ac:dyDescent="0.2">
      <c r="A30">
        <v>121</v>
      </c>
      <c r="B30" t="s">
        <v>34</v>
      </c>
      <c r="C30" t="s">
        <v>35</v>
      </c>
      <c r="D30" t="s">
        <v>36</v>
      </c>
      <c r="E30">
        <v>-0.78332469655901604</v>
      </c>
      <c r="F30">
        <v>-1.4309482903973401</v>
      </c>
      <c r="G30">
        <v>-0.78329385540688601</v>
      </c>
      <c r="H30">
        <v>-0.135876781390741</v>
      </c>
      <c r="I30">
        <v>-0.78329372480088999</v>
      </c>
      <c r="J30">
        <v>0.33022178747744602</v>
      </c>
      <c r="K30">
        <v>313.09889027395002</v>
      </c>
    </row>
    <row r="31" spans="1:11" x14ac:dyDescent="0.2">
      <c r="A31">
        <v>131</v>
      </c>
      <c r="B31" t="s">
        <v>34</v>
      </c>
      <c r="C31" t="s">
        <v>35</v>
      </c>
      <c r="D31" t="s">
        <v>34</v>
      </c>
      <c r="E31">
        <v>0.926277797893858</v>
      </c>
      <c r="F31">
        <v>0.89457949547045101</v>
      </c>
      <c r="G31">
        <v>0.92720489144424301</v>
      </c>
      <c r="H31">
        <v>0.952601208679003</v>
      </c>
      <c r="I31">
        <v>0.92908968256914404</v>
      </c>
      <c r="J31">
        <v>1.4857113382035899E-2</v>
      </c>
      <c r="K31">
        <v>313.09889027395002</v>
      </c>
    </row>
    <row r="32" spans="1:11" x14ac:dyDescent="0.2">
      <c r="A32">
        <v>113</v>
      </c>
      <c r="B32" t="s">
        <v>37</v>
      </c>
      <c r="C32" t="s">
        <v>187</v>
      </c>
      <c r="D32" t="s">
        <v>38</v>
      </c>
      <c r="E32">
        <v>0.151198292477632</v>
      </c>
      <c r="F32">
        <v>6.6448484346715395E-2</v>
      </c>
      <c r="G32">
        <v>0.151198292477632</v>
      </c>
      <c r="H32">
        <v>0.23594810060854801</v>
      </c>
      <c r="I32">
        <v>0.151198292477632</v>
      </c>
      <c r="J32">
        <v>4.3240492580176003E-2</v>
      </c>
      <c r="K32">
        <v>271.174076321347</v>
      </c>
    </row>
    <row r="33" spans="1:11" x14ac:dyDescent="0.2">
      <c r="A33">
        <v>212</v>
      </c>
      <c r="B33" t="s">
        <v>37</v>
      </c>
      <c r="C33" t="s">
        <v>187</v>
      </c>
      <c r="D33" t="s">
        <v>39</v>
      </c>
      <c r="E33">
        <v>1.72165579294337</v>
      </c>
      <c r="F33">
        <v>0.88537080587396799</v>
      </c>
      <c r="G33">
        <v>1.72165579294337</v>
      </c>
      <c r="H33">
        <v>2.5579407800127698</v>
      </c>
      <c r="I33">
        <v>1.72165579294337</v>
      </c>
      <c r="J33">
        <v>0.42668385422687</v>
      </c>
      <c r="K33">
        <v>271.174076321347</v>
      </c>
    </row>
    <row r="34" spans="1:11" x14ac:dyDescent="0.2">
      <c r="A34">
        <v>312</v>
      </c>
      <c r="B34" t="s">
        <v>37</v>
      </c>
      <c r="C34" t="s">
        <v>187</v>
      </c>
      <c r="D34" t="s">
        <v>12</v>
      </c>
      <c r="E34">
        <v>0.17005409889298101</v>
      </c>
      <c r="F34">
        <v>-0.228028407693462</v>
      </c>
      <c r="G34">
        <v>0.17005409889298101</v>
      </c>
      <c r="H34">
        <v>0.56813660547942402</v>
      </c>
      <c r="I34">
        <v>0.17005409889298101</v>
      </c>
      <c r="J34">
        <v>0.203107051826701</v>
      </c>
      <c r="K34">
        <v>271.174076321347</v>
      </c>
    </row>
    <row r="35" spans="1:11" x14ac:dyDescent="0.2">
      <c r="A35">
        <v>411</v>
      </c>
      <c r="B35" t="s">
        <v>37</v>
      </c>
      <c r="C35" t="s">
        <v>187</v>
      </c>
      <c r="D35" t="s">
        <v>13</v>
      </c>
      <c r="E35">
        <v>-0.62094667433128703</v>
      </c>
      <c r="F35">
        <v>-1.1626898728563599</v>
      </c>
      <c r="G35">
        <v>-0.62094667433128703</v>
      </c>
      <c r="H35">
        <v>-7.9203475806215298E-2</v>
      </c>
      <c r="I35">
        <v>-0.62094667433128703</v>
      </c>
      <c r="J35">
        <v>0.276404670084896</v>
      </c>
      <c r="K35">
        <v>271.174076321347</v>
      </c>
    </row>
    <row r="36" spans="1:11" x14ac:dyDescent="0.2">
      <c r="A36">
        <v>511</v>
      </c>
      <c r="B36" t="s">
        <v>37</v>
      </c>
      <c r="C36" t="s">
        <v>187</v>
      </c>
      <c r="D36" t="s">
        <v>40</v>
      </c>
      <c r="E36">
        <v>0.440424931951924</v>
      </c>
      <c r="F36">
        <v>0.19163732610989101</v>
      </c>
      <c r="G36">
        <v>0.440424931951924</v>
      </c>
      <c r="H36">
        <v>0.68921253779395697</v>
      </c>
      <c r="I36">
        <v>0.440424931951924</v>
      </c>
      <c r="J36">
        <v>0.126934784416672</v>
      </c>
      <c r="K36">
        <v>271.174076321347</v>
      </c>
    </row>
    <row r="37" spans="1:11" x14ac:dyDescent="0.2">
      <c r="A37">
        <v>611</v>
      </c>
      <c r="B37" t="s">
        <v>37</v>
      </c>
      <c r="C37" t="s">
        <v>187</v>
      </c>
      <c r="D37" t="s">
        <v>14</v>
      </c>
      <c r="E37">
        <v>-1.65607240959381</v>
      </c>
      <c r="F37">
        <v>-2.9859966622431902</v>
      </c>
      <c r="G37">
        <v>-1.65607240959381</v>
      </c>
      <c r="H37">
        <v>-0.32614815694442201</v>
      </c>
      <c r="I37">
        <v>-1.65607240959381</v>
      </c>
      <c r="J37">
        <v>0.67854525039217894</v>
      </c>
      <c r="K37">
        <v>271.174076321347</v>
      </c>
    </row>
    <row r="38" spans="1:11" x14ac:dyDescent="0.2">
      <c r="A38">
        <v>711</v>
      </c>
      <c r="B38" t="s">
        <v>37</v>
      </c>
      <c r="C38" t="s">
        <v>187</v>
      </c>
      <c r="D38" t="s">
        <v>30</v>
      </c>
      <c r="E38">
        <v>-0.17404702956652901</v>
      </c>
      <c r="F38">
        <v>-0.65525287468377802</v>
      </c>
      <c r="G38">
        <v>-0.17404702956652901</v>
      </c>
      <c r="H38">
        <v>0.30715881555072</v>
      </c>
      <c r="I38">
        <v>-0.17404702956652901</v>
      </c>
      <c r="J38">
        <v>0.24551769772962101</v>
      </c>
      <c r="K38">
        <v>271.174076321347</v>
      </c>
    </row>
    <row r="39" spans="1:11" x14ac:dyDescent="0.2">
      <c r="A39">
        <v>811</v>
      </c>
      <c r="B39" t="s">
        <v>37</v>
      </c>
      <c r="C39" t="s">
        <v>187</v>
      </c>
      <c r="D39" t="s">
        <v>41</v>
      </c>
      <c r="E39">
        <v>1.05986821017622</v>
      </c>
      <c r="F39">
        <v>0.39996624661980701</v>
      </c>
      <c r="G39">
        <v>1.05986821017622</v>
      </c>
      <c r="H39">
        <v>1.7197701737326201</v>
      </c>
      <c r="I39">
        <v>1.05986821017622</v>
      </c>
      <c r="J39">
        <v>0.336690862057482</v>
      </c>
      <c r="K39">
        <v>271.174076321347</v>
      </c>
    </row>
    <row r="40" spans="1:11" x14ac:dyDescent="0.2">
      <c r="A40">
        <v>102</v>
      </c>
      <c r="B40" t="s">
        <v>42</v>
      </c>
      <c r="C40" t="s">
        <v>188</v>
      </c>
      <c r="D40" t="s">
        <v>38</v>
      </c>
      <c r="E40">
        <v>0.174193103965461</v>
      </c>
      <c r="F40">
        <v>8.0298588978184204E-2</v>
      </c>
      <c r="G40">
        <v>0.17317762783073801</v>
      </c>
      <c r="H40">
        <v>0.27394774152562601</v>
      </c>
      <c r="I40">
        <v>0.17319953773768501</v>
      </c>
      <c r="J40">
        <v>4.9283338420550798E-2</v>
      </c>
      <c r="K40">
        <v>262.47563510341502</v>
      </c>
    </row>
    <row r="41" spans="1:11" x14ac:dyDescent="0.2">
      <c r="A41">
        <v>114</v>
      </c>
      <c r="B41" t="s">
        <v>42</v>
      </c>
      <c r="C41" t="s">
        <v>188</v>
      </c>
      <c r="D41" t="s">
        <v>39</v>
      </c>
      <c r="E41">
        <v>1.6949231918661201</v>
      </c>
      <c r="F41">
        <v>0.78464177145751202</v>
      </c>
      <c r="G41">
        <v>1.6943443843506301</v>
      </c>
      <c r="H41">
        <v>2.6089019483531302</v>
      </c>
      <c r="I41">
        <v>1.69449493150965</v>
      </c>
      <c r="J41">
        <v>0.46444210041316902</v>
      </c>
      <c r="K41">
        <v>262.47563510341502</v>
      </c>
    </row>
    <row r="42" spans="1:11" x14ac:dyDescent="0.2">
      <c r="A42">
        <v>122</v>
      </c>
      <c r="B42" t="s">
        <v>42</v>
      </c>
      <c r="C42" t="s">
        <v>188</v>
      </c>
      <c r="D42" t="s">
        <v>12</v>
      </c>
      <c r="E42">
        <v>0.15861223714241801</v>
      </c>
      <c r="F42">
        <v>-0.29133168260562498</v>
      </c>
      <c r="G42">
        <v>0.158109110098336</v>
      </c>
      <c r="H42">
        <v>0.61171322552005003</v>
      </c>
      <c r="I42">
        <v>0.15820469426173001</v>
      </c>
      <c r="J42">
        <v>0.22959669229833601</v>
      </c>
      <c r="K42">
        <v>262.47563510341502</v>
      </c>
    </row>
    <row r="43" spans="1:11" x14ac:dyDescent="0.2">
      <c r="A43">
        <v>132</v>
      </c>
      <c r="B43" t="s">
        <v>42</v>
      </c>
      <c r="C43" t="s">
        <v>188</v>
      </c>
      <c r="D43" t="s">
        <v>13</v>
      </c>
      <c r="E43">
        <v>-0.62638079589590301</v>
      </c>
      <c r="F43">
        <v>-1.25996509686147</v>
      </c>
      <c r="G43">
        <v>-0.627324105990406</v>
      </c>
      <c r="H43">
        <v>1.3101841330726101E-2</v>
      </c>
      <c r="I43">
        <v>-0.62714897889914201</v>
      </c>
      <c r="J43">
        <v>0.323189279120697</v>
      </c>
      <c r="K43">
        <v>262.47563510341502</v>
      </c>
    </row>
    <row r="44" spans="1:11" x14ac:dyDescent="0.2">
      <c r="A44">
        <v>141</v>
      </c>
      <c r="B44" t="s">
        <v>42</v>
      </c>
      <c r="C44" t="s">
        <v>188</v>
      </c>
      <c r="D44" t="s">
        <v>40</v>
      </c>
      <c r="E44">
        <v>0.420099621293752</v>
      </c>
      <c r="F44">
        <v>0.19585814927741399</v>
      </c>
      <c r="G44">
        <v>0.41931045100458098</v>
      </c>
      <c r="H44">
        <v>0.64880237621534498</v>
      </c>
      <c r="I44">
        <v>0.419301992668626</v>
      </c>
      <c r="J44">
        <v>0.11532011202836299</v>
      </c>
      <c r="K44">
        <v>262.47563510341502</v>
      </c>
    </row>
    <row r="45" spans="1:11" x14ac:dyDescent="0.2">
      <c r="A45">
        <v>151</v>
      </c>
      <c r="B45" t="s">
        <v>42</v>
      </c>
      <c r="C45" t="s">
        <v>188</v>
      </c>
      <c r="D45" t="s">
        <v>14</v>
      </c>
      <c r="E45">
        <v>-1.7441118148381001</v>
      </c>
      <c r="F45">
        <v>-3.17232173776932</v>
      </c>
      <c r="G45">
        <v>-1.7395703972860199</v>
      </c>
      <c r="H45">
        <v>-0.34241318328328801</v>
      </c>
      <c r="I45">
        <v>-1.7397684822958299</v>
      </c>
      <c r="J45">
        <v>0.72087711522486497</v>
      </c>
      <c r="K45">
        <v>262.47563510341502</v>
      </c>
    </row>
    <row r="46" spans="1:11" x14ac:dyDescent="0.2">
      <c r="A46">
        <v>161</v>
      </c>
      <c r="B46" t="s">
        <v>42</v>
      </c>
      <c r="C46" t="s">
        <v>188</v>
      </c>
      <c r="D46" t="s">
        <v>30</v>
      </c>
      <c r="E46">
        <v>-0.17567930735722101</v>
      </c>
      <c r="F46">
        <v>-0.69732606543619502</v>
      </c>
      <c r="G46">
        <v>-0.174866208841196</v>
      </c>
      <c r="H46">
        <v>0.34115986756252697</v>
      </c>
      <c r="I46">
        <v>-0.174921407614896</v>
      </c>
      <c r="J46">
        <v>0.26445444424668602</v>
      </c>
      <c r="K46">
        <v>262.47563510341502</v>
      </c>
    </row>
    <row r="47" spans="1:11" x14ac:dyDescent="0.2">
      <c r="A47">
        <v>171</v>
      </c>
      <c r="B47" t="s">
        <v>42</v>
      </c>
      <c r="C47" t="s">
        <v>188</v>
      </c>
      <c r="D47" t="s">
        <v>41</v>
      </c>
      <c r="E47">
        <v>1.05864622756607</v>
      </c>
      <c r="F47">
        <v>0.35501780782284098</v>
      </c>
      <c r="G47">
        <v>1.05711038332686</v>
      </c>
      <c r="H47">
        <v>1.77133768626037</v>
      </c>
      <c r="I47">
        <v>1.0572069451299999</v>
      </c>
      <c r="J47">
        <v>0.36076743890079599</v>
      </c>
      <c r="K47">
        <v>262.47563510341502</v>
      </c>
    </row>
    <row r="48" spans="1:11" x14ac:dyDescent="0.2">
      <c r="A48">
        <v>181</v>
      </c>
      <c r="B48" t="s">
        <v>42</v>
      </c>
      <c r="C48" t="s">
        <v>188</v>
      </c>
      <c r="D48" t="s">
        <v>19</v>
      </c>
      <c r="E48">
        <v>307.79019578659597</v>
      </c>
      <c r="F48">
        <v>82.7267547330013</v>
      </c>
      <c r="G48">
        <v>254.743136226106</v>
      </c>
      <c r="H48">
        <v>851.650693552093</v>
      </c>
      <c r="I48">
        <v>178.362741198642</v>
      </c>
      <c r="J48">
        <v>206.065360922591</v>
      </c>
      <c r="K48">
        <v>262.47563510341502</v>
      </c>
    </row>
    <row r="49" spans="1:11" x14ac:dyDescent="0.2">
      <c r="A49">
        <v>191</v>
      </c>
      <c r="B49" t="s">
        <v>42</v>
      </c>
      <c r="C49" t="s">
        <v>188</v>
      </c>
      <c r="D49" t="s">
        <v>20</v>
      </c>
      <c r="E49">
        <v>2.0561054532289398</v>
      </c>
      <c r="F49">
        <v>0.65289583499590098</v>
      </c>
      <c r="G49">
        <v>1.85233115565436</v>
      </c>
      <c r="H49">
        <v>4.6251460539847802</v>
      </c>
      <c r="I49">
        <v>1.4729697074082599</v>
      </c>
      <c r="J49">
        <v>1.03695489434</v>
      </c>
      <c r="K49">
        <v>262.47563510341502</v>
      </c>
    </row>
    <row r="50" spans="1:11" x14ac:dyDescent="0.2">
      <c r="A50">
        <v>23</v>
      </c>
      <c r="B50" t="s">
        <v>43</v>
      </c>
      <c r="C50" t="s">
        <v>189</v>
      </c>
      <c r="D50" t="s">
        <v>38</v>
      </c>
      <c r="E50">
        <v>0.158771341718282</v>
      </c>
      <c r="F50">
        <v>6.8233139128828599E-2</v>
      </c>
      <c r="G50">
        <v>0.15807732667247901</v>
      </c>
      <c r="H50">
        <v>0.25331657682926501</v>
      </c>
      <c r="I50">
        <v>0.15809254431391401</v>
      </c>
      <c r="J50">
        <v>4.7134613630835397E-2</v>
      </c>
      <c r="K50">
        <v>266.49481041029901</v>
      </c>
    </row>
    <row r="51" spans="1:11" x14ac:dyDescent="0.2">
      <c r="A51">
        <v>201</v>
      </c>
      <c r="B51" t="s">
        <v>43</v>
      </c>
      <c r="C51" t="s">
        <v>189</v>
      </c>
      <c r="D51" t="s">
        <v>39</v>
      </c>
      <c r="E51">
        <v>1.6288291633869201</v>
      </c>
      <c r="F51">
        <v>0.73467702603948104</v>
      </c>
      <c r="G51">
        <v>1.62856680830329</v>
      </c>
      <c r="H51">
        <v>2.5247707679123201</v>
      </c>
      <c r="I51">
        <v>1.62866674912416</v>
      </c>
      <c r="J51">
        <v>0.455866898421115</v>
      </c>
      <c r="K51">
        <v>266.49481041029901</v>
      </c>
    </row>
    <row r="52" spans="1:11" x14ac:dyDescent="0.2">
      <c r="A52">
        <v>213</v>
      </c>
      <c r="B52" t="s">
        <v>43</v>
      </c>
      <c r="C52" t="s">
        <v>189</v>
      </c>
      <c r="D52" t="s">
        <v>12</v>
      </c>
      <c r="E52">
        <v>0.15554863882047701</v>
      </c>
      <c r="F52">
        <v>-0.29446186423049397</v>
      </c>
      <c r="G52">
        <v>0.15511084864390201</v>
      </c>
      <c r="H52">
        <v>0.60836447136635796</v>
      </c>
      <c r="I52">
        <v>0.15520812310003801</v>
      </c>
      <c r="J52">
        <v>0.22962817253331599</v>
      </c>
      <c r="K52">
        <v>266.49481041029901</v>
      </c>
    </row>
    <row r="53" spans="1:11" x14ac:dyDescent="0.2">
      <c r="A53">
        <v>26</v>
      </c>
      <c r="B53" t="s">
        <v>43</v>
      </c>
      <c r="C53" t="s">
        <v>189</v>
      </c>
      <c r="D53" t="s">
        <v>13</v>
      </c>
      <c r="E53">
        <v>-0.55500147656058796</v>
      </c>
      <c r="F53">
        <v>-1.18510201394434</v>
      </c>
      <c r="G53">
        <v>-0.556889716109224</v>
      </c>
      <c r="H53">
        <v>8.6475576347281993E-2</v>
      </c>
      <c r="I53">
        <v>-0.55668274603939505</v>
      </c>
      <c r="J53">
        <v>0.32301035134752099</v>
      </c>
      <c r="K53">
        <v>266.49481041029901</v>
      </c>
    </row>
    <row r="54" spans="1:11" x14ac:dyDescent="0.2">
      <c r="A54">
        <v>27</v>
      </c>
      <c r="B54" t="s">
        <v>43</v>
      </c>
      <c r="C54" t="s">
        <v>189</v>
      </c>
      <c r="D54" t="s">
        <v>40</v>
      </c>
      <c r="E54">
        <v>0.43036132715773701</v>
      </c>
      <c r="F54">
        <v>0.213137062969803</v>
      </c>
      <c r="G54">
        <v>0.429494214107845</v>
      </c>
      <c r="H54">
        <v>0.65254028502699402</v>
      </c>
      <c r="I54">
        <v>0.42949995959926202</v>
      </c>
      <c r="J54">
        <v>0.111834606968434</v>
      </c>
      <c r="K54">
        <v>266.49481041029901</v>
      </c>
    </row>
    <row r="55" spans="1:11" x14ac:dyDescent="0.2">
      <c r="A55">
        <v>24</v>
      </c>
      <c r="B55" t="s">
        <v>43</v>
      </c>
      <c r="C55" t="s">
        <v>189</v>
      </c>
      <c r="D55" t="s">
        <v>14</v>
      </c>
      <c r="E55">
        <v>-0.24505605403123401</v>
      </c>
      <c r="F55">
        <v>-1.14628606091148</v>
      </c>
      <c r="G55">
        <v>-0.23962893060667101</v>
      </c>
      <c r="H55">
        <v>0.62540196179040397</v>
      </c>
      <c r="I55">
        <v>-0.23961452365889599</v>
      </c>
      <c r="J55">
        <v>0.45098766849975802</v>
      </c>
      <c r="K55">
        <v>266.49481041029901</v>
      </c>
    </row>
    <row r="56" spans="1:11" x14ac:dyDescent="0.2">
      <c r="A56">
        <v>25</v>
      </c>
      <c r="B56" t="s">
        <v>43</v>
      </c>
      <c r="C56" t="s">
        <v>189</v>
      </c>
      <c r="D56" t="s">
        <v>30</v>
      </c>
      <c r="E56">
        <v>0.29864575293821799</v>
      </c>
      <c r="F56">
        <v>-5.6445774414768002E-2</v>
      </c>
      <c r="G56">
        <v>0.29816565680610202</v>
      </c>
      <c r="H56">
        <v>0.65656374667360995</v>
      </c>
      <c r="I56">
        <v>0.29819784553859902</v>
      </c>
      <c r="J56">
        <v>0.18157097111517001</v>
      </c>
      <c r="K56">
        <v>266.49481041029901</v>
      </c>
    </row>
    <row r="57" spans="1:11" x14ac:dyDescent="0.2">
      <c r="A57">
        <v>28</v>
      </c>
      <c r="B57" t="s">
        <v>43</v>
      </c>
      <c r="C57" t="s">
        <v>189</v>
      </c>
      <c r="D57" t="s">
        <v>19</v>
      </c>
      <c r="E57">
        <v>393.91303766530802</v>
      </c>
      <c r="F57">
        <v>86.506262673065606</v>
      </c>
      <c r="G57">
        <v>303.34430200739598</v>
      </c>
      <c r="H57">
        <v>1255.5266400665901</v>
      </c>
      <c r="I57">
        <v>190.70461880994199</v>
      </c>
      <c r="J57">
        <v>323.30545734409901</v>
      </c>
      <c r="K57">
        <v>266.49481041029901</v>
      </c>
    </row>
    <row r="58" spans="1:11" x14ac:dyDescent="0.2">
      <c r="A58">
        <v>29</v>
      </c>
      <c r="B58" t="s">
        <v>43</v>
      </c>
      <c r="C58" t="s">
        <v>189</v>
      </c>
      <c r="D58" t="s">
        <v>20</v>
      </c>
      <c r="E58">
        <v>1.9023761637916199</v>
      </c>
      <c r="F58">
        <v>0.578922978103112</v>
      </c>
      <c r="G58">
        <v>1.7059868726724501</v>
      </c>
      <c r="H58">
        <v>4.34554342709946</v>
      </c>
      <c r="I58">
        <v>1.3371317264932201</v>
      </c>
      <c r="J58">
        <v>0.98469353947784</v>
      </c>
      <c r="K58">
        <v>266.49481041029901</v>
      </c>
    </row>
    <row r="59" spans="1:11" x14ac:dyDescent="0.2">
      <c r="A59">
        <v>36</v>
      </c>
      <c r="B59" t="s">
        <v>44</v>
      </c>
      <c r="C59" t="s">
        <v>194</v>
      </c>
      <c r="D59" t="s">
        <v>38</v>
      </c>
      <c r="E59">
        <v>0.14652059881641899</v>
      </c>
      <c r="F59">
        <v>6.1764402229087197E-2</v>
      </c>
      <c r="G59">
        <v>0.14652059881641899</v>
      </c>
      <c r="H59">
        <v>0.23127679540375001</v>
      </c>
      <c r="I59">
        <v>0.14652059881641899</v>
      </c>
      <c r="J59">
        <v>4.3243752056607902E-2</v>
      </c>
      <c r="K59">
        <v>272.424295874839</v>
      </c>
    </row>
    <row r="60" spans="1:11" x14ac:dyDescent="0.2">
      <c r="A60">
        <v>37</v>
      </c>
      <c r="B60" t="s">
        <v>44</v>
      </c>
      <c r="C60" t="s">
        <v>194</v>
      </c>
      <c r="D60" t="s">
        <v>39</v>
      </c>
      <c r="E60">
        <v>1.5973889338512699</v>
      </c>
      <c r="F60">
        <v>0.78413876187339104</v>
      </c>
      <c r="G60">
        <v>1.5973889338512699</v>
      </c>
      <c r="H60">
        <v>2.4106391058291599</v>
      </c>
      <c r="I60">
        <v>1.5973889338512699</v>
      </c>
      <c r="J60">
        <v>0.41493118158940501</v>
      </c>
      <c r="K60">
        <v>272.424295874839</v>
      </c>
    </row>
    <row r="61" spans="1:11" x14ac:dyDescent="0.2">
      <c r="A61">
        <v>38</v>
      </c>
      <c r="B61" t="s">
        <v>44</v>
      </c>
      <c r="C61" t="s">
        <v>194</v>
      </c>
      <c r="D61" t="s">
        <v>12</v>
      </c>
      <c r="E61">
        <v>0.117994886239825</v>
      </c>
      <c r="F61">
        <v>-0.27623756215574902</v>
      </c>
      <c r="G61">
        <v>0.117994886239825</v>
      </c>
      <c r="H61">
        <v>0.51222733463539805</v>
      </c>
      <c r="I61">
        <v>0.117994886239825</v>
      </c>
      <c r="J61">
        <v>0.20114270032777601</v>
      </c>
      <c r="K61">
        <v>272.424295874839</v>
      </c>
    </row>
    <row r="62" spans="1:11" x14ac:dyDescent="0.2">
      <c r="A62">
        <v>30</v>
      </c>
      <c r="B62" t="s">
        <v>44</v>
      </c>
      <c r="C62" t="s">
        <v>194</v>
      </c>
      <c r="D62" t="s">
        <v>13</v>
      </c>
      <c r="E62">
        <v>-0.50987838012684505</v>
      </c>
      <c r="F62">
        <v>-1.0498241038560501</v>
      </c>
      <c r="G62">
        <v>-0.50987838012684505</v>
      </c>
      <c r="H62">
        <v>3.00673436023568E-2</v>
      </c>
      <c r="I62">
        <v>-0.50987838012684505</v>
      </c>
      <c r="J62">
        <v>0.27548757425555997</v>
      </c>
      <c r="K62">
        <v>272.424295874839</v>
      </c>
    </row>
    <row r="63" spans="1:11" x14ac:dyDescent="0.2">
      <c r="A63">
        <v>31</v>
      </c>
      <c r="B63" t="s">
        <v>44</v>
      </c>
      <c r="C63" t="s">
        <v>194</v>
      </c>
      <c r="D63" t="s">
        <v>40</v>
      </c>
      <c r="E63">
        <v>0.44336826574406302</v>
      </c>
      <c r="F63">
        <v>0.21472170923954301</v>
      </c>
      <c r="G63">
        <v>0.44336826574406302</v>
      </c>
      <c r="H63">
        <v>0.672014822248582</v>
      </c>
      <c r="I63">
        <v>0.44336826574406302</v>
      </c>
      <c r="J63">
        <v>0.116658550008089</v>
      </c>
      <c r="K63">
        <v>272.424295874839</v>
      </c>
    </row>
    <row r="64" spans="1:11" x14ac:dyDescent="0.2">
      <c r="A64">
        <v>32</v>
      </c>
      <c r="B64" t="s">
        <v>44</v>
      </c>
      <c r="C64" t="s">
        <v>194</v>
      </c>
      <c r="D64" t="s">
        <v>14</v>
      </c>
      <c r="E64">
        <v>-1.5968925690914499</v>
      </c>
      <c r="F64">
        <v>-2.9197041461764601</v>
      </c>
      <c r="G64">
        <v>-1.5968925690914499</v>
      </c>
      <c r="H64">
        <v>-0.27408099200645403</v>
      </c>
      <c r="I64">
        <v>-1.5968925690914499</v>
      </c>
      <c r="J64">
        <v>0.67491626760449197</v>
      </c>
      <c r="K64">
        <v>272.424295874839</v>
      </c>
    </row>
    <row r="65" spans="1:11" x14ac:dyDescent="0.2">
      <c r="A65">
        <v>33</v>
      </c>
      <c r="B65" t="s">
        <v>44</v>
      </c>
      <c r="C65" t="s">
        <v>194</v>
      </c>
      <c r="D65" t="s">
        <v>45</v>
      </c>
      <c r="E65">
        <v>-0.196490095654934</v>
      </c>
      <c r="F65">
        <v>-0.43062641190073098</v>
      </c>
      <c r="G65">
        <v>-0.196490095654934</v>
      </c>
      <c r="H65">
        <v>3.76462205908627E-2</v>
      </c>
      <c r="I65">
        <v>-0.196490095654934</v>
      </c>
      <c r="J65">
        <v>0.119459499303372</v>
      </c>
      <c r="K65">
        <v>272.424295874839</v>
      </c>
    </row>
    <row r="66" spans="1:11" x14ac:dyDescent="0.2">
      <c r="A66">
        <v>34</v>
      </c>
      <c r="B66" t="s">
        <v>44</v>
      </c>
      <c r="C66" t="s">
        <v>194</v>
      </c>
      <c r="D66" t="s">
        <v>46</v>
      </c>
      <c r="E66">
        <v>0.61645644788354403</v>
      </c>
      <c r="F66">
        <v>0.23568171746007299</v>
      </c>
      <c r="G66">
        <v>0.61645644788354403</v>
      </c>
      <c r="H66">
        <v>0.99723117830701402</v>
      </c>
      <c r="I66">
        <v>0.61645644788354403</v>
      </c>
      <c r="J66">
        <v>0.19427639151891199</v>
      </c>
      <c r="K66">
        <v>272.424295874839</v>
      </c>
    </row>
    <row r="67" spans="1:11" x14ac:dyDescent="0.2">
      <c r="A67">
        <v>40</v>
      </c>
      <c r="B67" t="s">
        <v>47</v>
      </c>
      <c r="C67" t="s">
        <v>195</v>
      </c>
      <c r="D67" t="s">
        <v>38</v>
      </c>
      <c r="E67">
        <v>0.17219569423970699</v>
      </c>
      <c r="F67">
        <v>7.7203512855900602E-2</v>
      </c>
      <c r="G67">
        <v>0.17109300496049001</v>
      </c>
      <c r="H67">
        <v>0.27355307593603601</v>
      </c>
      <c r="I67">
        <v>0.171117246045421</v>
      </c>
      <c r="J67">
        <v>4.9967823742694102E-2</v>
      </c>
      <c r="K67">
        <v>262.579411797082</v>
      </c>
    </row>
    <row r="68" spans="1:11" x14ac:dyDescent="0.2">
      <c r="A68">
        <v>41</v>
      </c>
      <c r="B68" t="s">
        <v>47</v>
      </c>
      <c r="C68" t="s">
        <v>195</v>
      </c>
      <c r="D68" t="s">
        <v>39</v>
      </c>
      <c r="E68">
        <v>1.57768613835676</v>
      </c>
      <c r="F68">
        <v>0.67505303254026805</v>
      </c>
      <c r="G68">
        <v>1.5766496576112199</v>
      </c>
      <c r="H68">
        <v>2.48672919688063</v>
      </c>
      <c r="I68">
        <v>1.5768311965374999</v>
      </c>
      <c r="J68">
        <v>0.461072262795445</v>
      </c>
      <c r="K68">
        <v>262.579411797082</v>
      </c>
    </row>
    <row r="69" spans="1:11" x14ac:dyDescent="0.2">
      <c r="A69">
        <v>42</v>
      </c>
      <c r="B69" t="s">
        <v>47</v>
      </c>
      <c r="C69" t="s">
        <v>195</v>
      </c>
      <c r="D69" t="s">
        <v>12</v>
      </c>
      <c r="E69">
        <v>0.121690294285309</v>
      </c>
      <c r="F69">
        <v>-0.332748249672362</v>
      </c>
      <c r="G69">
        <v>0.120642022030469</v>
      </c>
      <c r="H69">
        <v>0.58231335800039097</v>
      </c>
      <c r="I69">
        <v>0.12070543959483</v>
      </c>
      <c r="J69">
        <v>0.23255930596437699</v>
      </c>
      <c r="K69">
        <v>262.579411797082</v>
      </c>
    </row>
    <row r="70" spans="1:11" x14ac:dyDescent="0.2">
      <c r="A70">
        <v>48</v>
      </c>
      <c r="B70" t="s">
        <v>47</v>
      </c>
      <c r="C70" t="s">
        <v>195</v>
      </c>
      <c r="D70" t="s">
        <v>13</v>
      </c>
      <c r="E70">
        <v>-0.49184105661458799</v>
      </c>
      <c r="F70">
        <v>-1.13255622613906</v>
      </c>
      <c r="G70">
        <v>-0.49479604511048397</v>
      </c>
      <c r="H70">
        <v>0.16660355182078099</v>
      </c>
      <c r="I70">
        <v>-0.494496438415159</v>
      </c>
      <c r="J70">
        <v>0.32967449176758701</v>
      </c>
      <c r="K70">
        <v>262.579411797082</v>
      </c>
    </row>
    <row r="71" spans="1:11" x14ac:dyDescent="0.2">
      <c r="A71">
        <v>45</v>
      </c>
      <c r="B71" t="s">
        <v>47</v>
      </c>
      <c r="C71" t="s">
        <v>195</v>
      </c>
      <c r="D71" t="s">
        <v>40</v>
      </c>
      <c r="E71">
        <v>0.43588923064228902</v>
      </c>
      <c r="F71">
        <v>0.21191103153142599</v>
      </c>
      <c r="G71">
        <v>0.43499448962137699</v>
      </c>
      <c r="H71">
        <v>0.66504704111525104</v>
      </c>
      <c r="I71">
        <v>0.43503875777478201</v>
      </c>
      <c r="J71">
        <v>0.115438514430501</v>
      </c>
      <c r="K71">
        <v>262.579411797082</v>
      </c>
    </row>
    <row r="72" spans="1:11" x14ac:dyDescent="0.2">
      <c r="A72">
        <v>46</v>
      </c>
      <c r="B72" t="s">
        <v>47</v>
      </c>
      <c r="C72" t="s">
        <v>195</v>
      </c>
      <c r="D72" t="s">
        <v>14</v>
      </c>
      <c r="E72">
        <v>-1.66448916957661</v>
      </c>
      <c r="F72">
        <v>-3.06367551097747</v>
      </c>
      <c r="G72">
        <v>-1.65981559093065</v>
      </c>
      <c r="H72">
        <v>-0.29280926693897302</v>
      </c>
      <c r="I72">
        <v>-1.66010654423639</v>
      </c>
      <c r="J72">
        <v>0.70582712892195099</v>
      </c>
      <c r="K72">
        <v>262.579411797082</v>
      </c>
    </row>
    <row r="73" spans="1:11" x14ac:dyDescent="0.2">
      <c r="A73">
        <v>47</v>
      </c>
      <c r="B73" t="s">
        <v>47</v>
      </c>
      <c r="C73" t="s">
        <v>195</v>
      </c>
      <c r="D73" t="s">
        <v>45</v>
      </c>
      <c r="E73">
        <v>-0.223654707450016</v>
      </c>
      <c r="F73">
        <v>-0.49090902022162702</v>
      </c>
      <c r="G73">
        <v>-0.22193013820964</v>
      </c>
      <c r="H73">
        <v>3.3441015631283197E-2</v>
      </c>
      <c r="I73">
        <v>-0.22204166642388701</v>
      </c>
      <c r="J73">
        <v>0.13338395808161799</v>
      </c>
      <c r="K73">
        <v>262.579411797082</v>
      </c>
    </row>
    <row r="74" spans="1:11" x14ac:dyDescent="0.2">
      <c r="A74">
        <v>43</v>
      </c>
      <c r="B74" t="s">
        <v>47</v>
      </c>
      <c r="C74" t="s">
        <v>195</v>
      </c>
      <c r="D74" t="s">
        <v>46</v>
      </c>
      <c r="E74">
        <v>0.62347434057151696</v>
      </c>
      <c r="F74">
        <v>0.21660403935172701</v>
      </c>
      <c r="G74">
        <v>0.62162747731196799</v>
      </c>
      <c r="H74">
        <v>1.04130124768705</v>
      </c>
      <c r="I74">
        <v>0.62177107986064495</v>
      </c>
      <c r="J74">
        <v>0.20996163587778099</v>
      </c>
      <c r="K74">
        <v>262.579411797082</v>
      </c>
    </row>
    <row r="75" spans="1:11" x14ac:dyDescent="0.2">
      <c r="A75">
        <v>49</v>
      </c>
      <c r="B75" t="s">
        <v>47</v>
      </c>
      <c r="C75" t="s">
        <v>195</v>
      </c>
      <c r="D75" t="s">
        <v>19</v>
      </c>
      <c r="E75">
        <v>304.91204411819302</v>
      </c>
      <c r="F75">
        <v>89.525342783103298</v>
      </c>
      <c r="G75">
        <v>259.50442063594102</v>
      </c>
      <c r="H75">
        <v>790.90032762205203</v>
      </c>
      <c r="I75">
        <v>190.080586134014</v>
      </c>
      <c r="J75">
        <v>186.06628617092801</v>
      </c>
      <c r="K75">
        <v>262.579411797082</v>
      </c>
    </row>
    <row r="76" spans="1:11" x14ac:dyDescent="0.2">
      <c r="A76">
        <v>44</v>
      </c>
      <c r="B76" t="s">
        <v>47</v>
      </c>
      <c r="C76" t="s">
        <v>195</v>
      </c>
      <c r="D76" t="s">
        <v>20</v>
      </c>
      <c r="E76">
        <v>2.1970418930275502</v>
      </c>
      <c r="F76">
        <v>0.77027962351297596</v>
      </c>
      <c r="G76">
        <v>2.00197198923841</v>
      </c>
      <c r="H76">
        <v>4.7463462359610498</v>
      </c>
      <c r="I76">
        <v>1.6434832598815801</v>
      </c>
      <c r="J76">
        <v>1.03446622261461</v>
      </c>
      <c r="K76">
        <v>262.579411797082</v>
      </c>
    </row>
    <row r="77" spans="1:11" x14ac:dyDescent="0.2">
      <c r="A77">
        <v>50</v>
      </c>
      <c r="B77" t="s">
        <v>48</v>
      </c>
      <c r="C77" t="s">
        <v>196</v>
      </c>
      <c r="D77" t="s">
        <v>38</v>
      </c>
      <c r="E77">
        <v>0.15526435794450399</v>
      </c>
      <c r="F77">
        <v>6.4394179856114994E-2</v>
      </c>
      <c r="G77">
        <v>0.15457521831742499</v>
      </c>
      <c r="H77">
        <v>0.25010303912642201</v>
      </c>
      <c r="I77">
        <v>0.154587313740805</v>
      </c>
      <c r="J77">
        <v>4.72983994868982E-2</v>
      </c>
      <c r="K77">
        <v>267.21890296523299</v>
      </c>
    </row>
    <row r="78" spans="1:11" x14ac:dyDescent="0.2">
      <c r="A78">
        <v>51</v>
      </c>
      <c r="B78" t="s">
        <v>48</v>
      </c>
      <c r="C78" t="s">
        <v>196</v>
      </c>
      <c r="D78" t="s">
        <v>39</v>
      </c>
      <c r="E78">
        <v>1.5700201313429401</v>
      </c>
      <c r="F78">
        <v>0.68155064468284599</v>
      </c>
      <c r="G78">
        <v>1.56953259159331</v>
      </c>
      <c r="H78">
        <v>2.46155836171681</v>
      </c>
      <c r="I78">
        <v>1.5696305692775001</v>
      </c>
      <c r="J78">
        <v>0.45328313946691401</v>
      </c>
      <c r="K78">
        <v>267.21890296523299</v>
      </c>
    </row>
    <row r="79" spans="1:11" x14ac:dyDescent="0.2">
      <c r="A79">
        <v>52</v>
      </c>
      <c r="B79" t="s">
        <v>48</v>
      </c>
      <c r="C79" t="s">
        <v>196</v>
      </c>
      <c r="D79" t="s">
        <v>12</v>
      </c>
      <c r="E79">
        <v>0.15819025257522901</v>
      </c>
      <c r="F79">
        <v>-0.29184924354988401</v>
      </c>
      <c r="G79">
        <v>0.15749800402307301</v>
      </c>
      <c r="H79">
        <v>0.61246280219830096</v>
      </c>
      <c r="I79">
        <v>0.15758951237805199</v>
      </c>
      <c r="J79">
        <v>0.22998062350715601</v>
      </c>
      <c r="K79">
        <v>267.21890296523299</v>
      </c>
    </row>
    <row r="80" spans="1:11" x14ac:dyDescent="0.2">
      <c r="A80">
        <v>56</v>
      </c>
      <c r="B80" t="s">
        <v>48</v>
      </c>
      <c r="C80" t="s">
        <v>196</v>
      </c>
      <c r="D80" t="s">
        <v>13</v>
      </c>
      <c r="E80">
        <v>-0.44859345642272502</v>
      </c>
      <c r="F80">
        <v>-1.07693095067505</v>
      </c>
      <c r="G80">
        <v>-0.45176479240404399</v>
      </c>
      <c r="H80">
        <v>0.19848866911662899</v>
      </c>
      <c r="I80">
        <v>-0.45153051407204903</v>
      </c>
      <c r="J80">
        <v>0.32404932997800601</v>
      </c>
      <c r="K80">
        <v>267.21890296523299</v>
      </c>
    </row>
    <row r="81" spans="1:11" x14ac:dyDescent="0.2">
      <c r="A81">
        <v>53</v>
      </c>
      <c r="B81" t="s">
        <v>48</v>
      </c>
      <c r="C81" t="s">
        <v>196</v>
      </c>
      <c r="D81" t="s">
        <v>40</v>
      </c>
      <c r="E81">
        <v>0.40284459098255299</v>
      </c>
      <c r="F81">
        <v>0.19585328910300501</v>
      </c>
      <c r="G81">
        <v>0.40220942127238002</v>
      </c>
      <c r="H81">
        <v>0.61341207293660605</v>
      </c>
      <c r="I81">
        <v>0.40219929713580199</v>
      </c>
      <c r="J81">
        <v>0.10634997253631601</v>
      </c>
      <c r="K81">
        <v>267.21890296523299</v>
      </c>
    </row>
    <row r="82" spans="1:11" x14ac:dyDescent="0.2">
      <c r="A82">
        <v>54</v>
      </c>
      <c r="B82" t="s">
        <v>48</v>
      </c>
      <c r="C82" t="s">
        <v>196</v>
      </c>
      <c r="D82" t="s">
        <v>14</v>
      </c>
      <c r="E82">
        <v>-0.22923355272257601</v>
      </c>
      <c r="F82">
        <v>-1.1198722008767901</v>
      </c>
      <c r="G82">
        <v>-0.224780895335604</v>
      </c>
      <c r="H82">
        <v>0.63607003455933198</v>
      </c>
      <c r="I82">
        <v>-0.224794182088908</v>
      </c>
      <c r="J82">
        <v>0.44691663289753197</v>
      </c>
      <c r="K82">
        <v>267.21890296523299</v>
      </c>
    </row>
    <row r="83" spans="1:11" x14ac:dyDescent="0.2">
      <c r="A83">
        <v>55</v>
      </c>
      <c r="B83" t="s">
        <v>48</v>
      </c>
      <c r="C83" t="s">
        <v>196</v>
      </c>
      <c r="D83" t="s">
        <v>45</v>
      </c>
      <c r="E83">
        <v>8.2301359329430401E-3</v>
      </c>
      <c r="F83">
        <v>-0.182121209878983</v>
      </c>
      <c r="G83">
        <v>8.1855538018359292E-3</v>
      </c>
      <c r="H83">
        <v>0.19886294125985901</v>
      </c>
      <c r="I83">
        <v>8.1951532185537308E-3</v>
      </c>
      <c r="J83">
        <v>9.7015193551468107E-2</v>
      </c>
      <c r="K83">
        <v>267.21890296523299</v>
      </c>
    </row>
    <row r="84" spans="1:11" x14ac:dyDescent="0.2">
      <c r="A84">
        <v>58</v>
      </c>
      <c r="B84" t="s">
        <v>48</v>
      </c>
      <c r="C84" t="s">
        <v>196</v>
      </c>
      <c r="D84" t="s">
        <v>19</v>
      </c>
      <c r="E84">
        <v>348.514084854408</v>
      </c>
      <c r="F84">
        <v>86.578523352633795</v>
      </c>
      <c r="G84">
        <v>282.47985576889403</v>
      </c>
      <c r="H84">
        <v>1008.70458764093</v>
      </c>
      <c r="I84">
        <v>190.73522078227199</v>
      </c>
      <c r="J84">
        <v>249.104644653462</v>
      </c>
      <c r="K84">
        <v>267.21890296523299</v>
      </c>
    </row>
    <row r="85" spans="1:11" x14ac:dyDescent="0.2">
      <c r="A85">
        <v>59</v>
      </c>
      <c r="B85" t="s">
        <v>48</v>
      </c>
      <c r="C85" t="s">
        <v>196</v>
      </c>
      <c r="D85" t="s">
        <v>20</v>
      </c>
      <c r="E85">
        <v>2.03969090409191</v>
      </c>
      <c r="F85">
        <v>0.68487425457073503</v>
      </c>
      <c r="G85">
        <v>1.8458336062171801</v>
      </c>
      <c r="H85">
        <v>4.5106072219998499</v>
      </c>
      <c r="I85">
        <v>1.4906750097410699</v>
      </c>
      <c r="J85">
        <v>0.99721478094472604</v>
      </c>
      <c r="K85">
        <v>267.21890296523299</v>
      </c>
    </row>
    <row r="86" spans="1:11" x14ac:dyDescent="0.2">
      <c r="A86">
        <v>62</v>
      </c>
      <c r="B86" t="s">
        <v>49</v>
      </c>
      <c r="C86" t="s">
        <v>197</v>
      </c>
      <c r="D86" t="s">
        <v>38</v>
      </c>
      <c r="E86">
        <v>0.13932828798321001</v>
      </c>
      <c r="F86">
        <v>5.3644896246010397E-2</v>
      </c>
      <c r="G86">
        <v>0.13932828798321001</v>
      </c>
      <c r="H86">
        <v>0.22501167972041</v>
      </c>
      <c r="I86">
        <v>0.13932828798321001</v>
      </c>
      <c r="J86">
        <v>4.3716819499266098E-2</v>
      </c>
      <c r="K86">
        <v>262.57612489703502</v>
      </c>
    </row>
    <row r="87" spans="1:11" x14ac:dyDescent="0.2">
      <c r="A87">
        <v>63</v>
      </c>
      <c r="B87" t="s">
        <v>49</v>
      </c>
      <c r="C87" t="s">
        <v>197</v>
      </c>
      <c r="D87" t="s">
        <v>39</v>
      </c>
      <c r="E87">
        <v>1.5899897618865899</v>
      </c>
      <c r="F87">
        <v>0.76655273715431105</v>
      </c>
      <c r="G87">
        <v>1.5899897618865899</v>
      </c>
      <c r="H87">
        <v>2.4134267866188601</v>
      </c>
      <c r="I87">
        <v>1.5899897618865899</v>
      </c>
      <c r="J87">
        <v>0.42012865094840701</v>
      </c>
      <c r="K87">
        <v>262.57612489703502</v>
      </c>
    </row>
    <row r="88" spans="1:11" x14ac:dyDescent="0.2">
      <c r="A88">
        <v>64</v>
      </c>
      <c r="B88" t="s">
        <v>49</v>
      </c>
      <c r="C88" t="s">
        <v>197</v>
      </c>
      <c r="D88" t="s">
        <v>12</v>
      </c>
      <c r="E88">
        <v>0.170708567565167</v>
      </c>
      <c r="F88">
        <v>-0.25585148723102202</v>
      </c>
      <c r="G88">
        <v>0.170708567565167</v>
      </c>
      <c r="H88">
        <v>0.59726862236135503</v>
      </c>
      <c r="I88">
        <v>0.170708567565167</v>
      </c>
      <c r="J88">
        <v>0.21763668014353299</v>
      </c>
      <c r="K88">
        <v>262.57612489703502</v>
      </c>
    </row>
    <row r="89" spans="1:11" x14ac:dyDescent="0.2">
      <c r="A89">
        <v>65</v>
      </c>
      <c r="B89" t="s">
        <v>49</v>
      </c>
      <c r="C89" t="s">
        <v>197</v>
      </c>
      <c r="D89" t="s">
        <v>13</v>
      </c>
      <c r="E89">
        <v>-0.74765615632708404</v>
      </c>
      <c r="F89">
        <v>-1.3097385162624</v>
      </c>
      <c r="G89">
        <v>-0.74765615632708404</v>
      </c>
      <c r="H89">
        <v>-0.18557379639176599</v>
      </c>
      <c r="I89">
        <v>-0.74765615632708404</v>
      </c>
      <c r="J89">
        <v>0.28678198393896698</v>
      </c>
      <c r="K89">
        <v>262.57612489703502</v>
      </c>
    </row>
    <row r="90" spans="1:11" x14ac:dyDescent="0.2">
      <c r="A90">
        <v>66</v>
      </c>
      <c r="B90" t="s">
        <v>49</v>
      </c>
      <c r="C90" t="s">
        <v>197</v>
      </c>
      <c r="D90" t="s">
        <v>40</v>
      </c>
      <c r="E90">
        <v>1.3652226828835801</v>
      </c>
      <c r="F90">
        <v>0.79278414000898001</v>
      </c>
      <c r="G90">
        <v>1.3652226828835801</v>
      </c>
      <c r="H90">
        <v>1.93766122575818</v>
      </c>
      <c r="I90">
        <v>1.3652226828835801</v>
      </c>
      <c r="J90">
        <v>0.29206584783695999</v>
      </c>
      <c r="K90">
        <v>262.57612489703502</v>
      </c>
    </row>
    <row r="91" spans="1:11" x14ac:dyDescent="0.2">
      <c r="A91">
        <v>67</v>
      </c>
      <c r="B91" t="s">
        <v>49</v>
      </c>
      <c r="C91" t="s">
        <v>197</v>
      </c>
      <c r="D91" t="s">
        <v>14</v>
      </c>
      <c r="E91">
        <v>-7.7188639182074095E-2</v>
      </c>
      <c r="F91">
        <v>-0.86975777086139305</v>
      </c>
      <c r="G91">
        <v>-7.7188639182074095E-2</v>
      </c>
      <c r="H91">
        <v>0.715380492497245</v>
      </c>
      <c r="I91">
        <v>-7.7188639182074095E-2</v>
      </c>
      <c r="J91">
        <v>0.40437943652587699</v>
      </c>
      <c r="K91">
        <v>262.57612489703502</v>
      </c>
    </row>
    <row r="92" spans="1:11" x14ac:dyDescent="0.2">
      <c r="A92">
        <v>68</v>
      </c>
      <c r="B92" t="s">
        <v>49</v>
      </c>
      <c r="C92" t="s">
        <v>197</v>
      </c>
      <c r="D92" t="s">
        <v>45</v>
      </c>
      <c r="E92">
        <v>0.17171546936669299</v>
      </c>
      <c r="F92">
        <v>-1.7146179562685899E-2</v>
      </c>
      <c r="G92">
        <v>0.17171546936669299</v>
      </c>
      <c r="H92">
        <v>0.36057711829607098</v>
      </c>
      <c r="I92">
        <v>0.17171546936669299</v>
      </c>
      <c r="J92">
        <v>9.6359754780748694E-2</v>
      </c>
      <c r="K92">
        <v>262.57612489703502</v>
      </c>
    </row>
    <row r="93" spans="1:11" x14ac:dyDescent="0.2">
      <c r="A93">
        <v>60</v>
      </c>
      <c r="B93" t="s">
        <v>49</v>
      </c>
      <c r="C93" t="s">
        <v>197</v>
      </c>
      <c r="D93" t="s">
        <v>50</v>
      </c>
      <c r="E93">
        <v>-0.26656182148815999</v>
      </c>
      <c r="F93">
        <v>-0.39812023942998498</v>
      </c>
      <c r="G93">
        <v>-0.26656182148815999</v>
      </c>
      <c r="H93">
        <v>-0.135003403546335</v>
      </c>
      <c r="I93">
        <v>-0.26656182148815999</v>
      </c>
      <c r="J93">
        <v>6.7122875205637103E-2</v>
      </c>
      <c r="K93">
        <v>262.57612489703502</v>
      </c>
    </row>
    <row r="94" spans="1:11" x14ac:dyDescent="0.2">
      <c r="A94">
        <v>70</v>
      </c>
      <c r="B94" t="s">
        <v>51</v>
      </c>
      <c r="C94" t="s">
        <v>198</v>
      </c>
      <c r="D94" t="s">
        <v>38</v>
      </c>
      <c r="E94">
        <v>0.156669446302628</v>
      </c>
      <c r="F94">
        <v>6.4843225988536299E-2</v>
      </c>
      <c r="G94">
        <v>0.15616052104311801</v>
      </c>
      <c r="H94">
        <v>0.25142288309338101</v>
      </c>
      <c r="I94">
        <v>0.156167487692491</v>
      </c>
      <c r="J94">
        <v>4.75299229806391E-2</v>
      </c>
      <c r="K94">
        <v>257.17992202123003</v>
      </c>
    </row>
    <row r="95" spans="1:11" x14ac:dyDescent="0.2">
      <c r="A95">
        <v>71</v>
      </c>
      <c r="B95" t="s">
        <v>51</v>
      </c>
      <c r="C95" t="s">
        <v>198</v>
      </c>
      <c r="D95" t="s">
        <v>39</v>
      </c>
      <c r="E95">
        <v>1.4630016022912</v>
      </c>
      <c r="F95">
        <v>0.55249765882615798</v>
      </c>
      <c r="G95">
        <v>1.46642444332663</v>
      </c>
      <c r="H95">
        <v>2.3540716696955801</v>
      </c>
      <c r="I95">
        <v>1.46644419209078</v>
      </c>
      <c r="J95">
        <v>0.45896147971763801</v>
      </c>
      <c r="K95">
        <v>257.17992202123003</v>
      </c>
    </row>
    <row r="96" spans="1:11" x14ac:dyDescent="0.2">
      <c r="A96">
        <v>72</v>
      </c>
      <c r="B96" t="s">
        <v>51</v>
      </c>
      <c r="C96" t="s">
        <v>198</v>
      </c>
      <c r="D96" t="s">
        <v>12</v>
      </c>
      <c r="E96">
        <v>0.13826461789646699</v>
      </c>
      <c r="F96">
        <v>-0.32593815388953001</v>
      </c>
      <c r="G96">
        <v>0.13874877090620799</v>
      </c>
      <c r="H96">
        <v>0.59978754601686302</v>
      </c>
      <c r="I96">
        <v>0.13877712134172801</v>
      </c>
      <c r="J96">
        <v>0.23572700825364301</v>
      </c>
      <c r="K96">
        <v>257.17992202123003</v>
      </c>
    </row>
    <row r="97" spans="1:11" x14ac:dyDescent="0.2">
      <c r="A97">
        <v>78</v>
      </c>
      <c r="B97" t="s">
        <v>51</v>
      </c>
      <c r="C97" t="s">
        <v>198</v>
      </c>
      <c r="D97" t="s">
        <v>13</v>
      </c>
      <c r="E97">
        <v>-0.78014428503002398</v>
      </c>
      <c r="F97">
        <v>-1.4273796838450801</v>
      </c>
      <c r="G97">
        <v>-0.77931760941926997</v>
      </c>
      <c r="H97">
        <v>-0.13738403178219599</v>
      </c>
      <c r="I97">
        <v>-0.77923980010640503</v>
      </c>
      <c r="J97">
        <v>0.32792833458559001</v>
      </c>
      <c r="K97">
        <v>257.17992202123003</v>
      </c>
    </row>
    <row r="98" spans="1:11" x14ac:dyDescent="0.2">
      <c r="A98">
        <v>75</v>
      </c>
      <c r="B98" t="s">
        <v>51</v>
      </c>
      <c r="C98" t="s">
        <v>198</v>
      </c>
      <c r="D98" t="s">
        <v>40</v>
      </c>
      <c r="E98">
        <v>1.46118296896505</v>
      </c>
      <c r="F98">
        <v>0.811006805401282</v>
      </c>
      <c r="G98">
        <v>1.4515858077346599</v>
      </c>
      <c r="H98">
        <v>2.16873807397831</v>
      </c>
      <c r="I98">
        <v>1.4524063345903</v>
      </c>
      <c r="J98">
        <v>0.34438703519074798</v>
      </c>
      <c r="K98">
        <v>257.17992202123003</v>
      </c>
    </row>
    <row r="99" spans="1:11" x14ac:dyDescent="0.2">
      <c r="A99">
        <v>76</v>
      </c>
      <c r="B99" t="s">
        <v>51</v>
      </c>
      <c r="C99" t="s">
        <v>198</v>
      </c>
      <c r="D99" t="s">
        <v>14</v>
      </c>
      <c r="E99">
        <v>-0.18383410375349499</v>
      </c>
      <c r="F99">
        <v>-1.0749785229103901</v>
      </c>
      <c r="G99">
        <v>-0.18007228237136699</v>
      </c>
      <c r="H99">
        <v>0.68585474344463004</v>
      </c>
      <c r="I99">
        <v>-0.180081947493443</v>
      </c>
      <c r="J99">
        <v>0.44831052061496002</v>
      </c>
      <c r="K99">
        <v>257.17992202123003</v>
      </c>
    </row>
    <row r="100" spans="1:11" x14ac:dyDescent="0.2">
      <c r="A100">
        <v>77</v>
      </c>
      <c r="B100" t="s">
        <v>51</v>
      </c>
      <c r="C100" t="s">
        <v>198</v>
      </c>
      <c r="D100" t="s">
        <v>45</v>
      </c>
      <c r="E100">
        <v>0.17209659019701401</v>
      </c>
      <c r="F100">
        <v>-2.84194086556992E-2</v>
      </c>
      <c r="G100">
        <v>0.171821181130968</v>
      </c>
      <c r="H100">
        <v>0.37425702595921301</v>
      </c>
      <c r="I100">
        <v>0.171846186955009</v>
      </c>
      <c r="J100">
        <v>0.10255460293457599</v>
      </c>
      <c r="K100">
        <v>257.17992202123003</v>
      </c>
    </row>
    <row r="101" spans="1:11" x14ac:dyDescent="0.2">
      <c r="A101">
        <v>79</v>
      </c>
      <c r="B101" t="s">
        <v>51</v>
      </c>
      <c r="C101" t="s">
        <v>198</v>
      </c>
      <c r="D101" t="s">
        <v>50</v>
      </c>
      <c r="E101">
        <v>-0.28714338635279302</v>
      </c>
      <c r="F101">
        <v>-0.44479152124638599</v>
      </c>
      <c r="G101">
        <v>-0.28550924488644802</v>
      </c>
      <c r="H101">
        <v>-0.13918002775551699</v>
      </c>
      <c r="I101">
        <v>-0.28562582122269498</v>
      </c>
      <c r="J101">
        <v>7.7609039575604902E-2</v>
      </c>
      <c r="K101">
        <v>257.17992202123003</v>
      </c>
    </row>
    <row r="102" spans="1:11" x14ac:dyDescent="0.2">
      <c r="A102">
        <v>73</v>
      </c>
      <c r="B102" t="s">
        <v>51</v>
      </c>
      <c r="C102" t="s">
        <v>198</v>
      </c>
      <c r="D102" t="s">
        <v>19</v>
      </c>
      <c r="E102">
        <v>588.707561071898</v>
      </c>
      <c r="F102">
        <v>58.950182157461199</v>
      </c>
      <c r="G102">
        <v>389.70062404203497</v>
      </c>
      <c r="H102">
        <v>2325.3713521411701</v>
      </c>
      <c r="I102">
        <v>158.829810467588</v>
      </c>
      <c r="J102">
        <v>662.76115560147605</v>
      </c>
      <c r="K102">
        <v>257.17992202123003</v>
      </c>
    </row>
    <row r="103" spans="1:11" x14ac:dyDescent="0.2">
      <c r="A103">
        <v>74</v>
      </c>
      <c r="B103" t="s">
        <v>51</v>
      </c>
      <c r="C103" t="s">
        <v>198</v>
      </c>
      <c r="D103" t="s">
        <v>20</v>
      </c>
      <c r="E103">
        <v>1.5216737437816501</v>
      </c>
      <c r="F103">
        <v>0.45980282475092499</v>
      </c>
      <c r="G103">
        <v>1.3261837744729399</v>
      </c>
      <c r="H103">
        <v>3.7327641306033099</v>
      </c>
      <c r="I103">
        <v>1.00232951754888</v>
      </c>
      <c r="J103">
        <v>0.86181538080797104</v>
      </c>
      <c r="K103">
        <v>257.17992202123003</v>
      </c>
    </row>
    <row r="104" spans="1:11" x14ac:dyDescent="0.2">
      <c r="A104">
        <v>84</v>
      </c>
      <c r="B104" t="s">
        <v>52</v>
      </c>
      <c r="C104" t="s">
        <v>196</v>
      </c>
      <c r="D104" t="s">
        <v>38</v>
      </c>
      <c r="E104">
        <v>0.155264248553354</v>
      </c>
      <c r="F104">
        <v>6.4394134059672897E-2</v>
      </c>
      <c r="G104">
        <v>0.15457512061898099</v>
      </c>
      <c r="H104">
        <v>0.250102797509346</v>
      </c>
      <c r="I104">
        <v>0.15458721528807401</v>
      </c>
      <c r="J104">
        <v>4.7298350285901299E-2</v>
      </c>
      <c r="K104">
        <v>267.21894972057203</v>
      </c>
    </row>
    <row r="105" spans="1:11" x14ac:dyDescent="0.2">
      <c r="A105">
        <v>85</v>
      </c>
      <c r="B105" t="s">
        <v>52</v>
      </c>
      <c r="C105" t="s">
        <v>196</v>
      </c>
      <c r="D105" t="s">
        <v>39</v>
      </c>
      <c r="E105">
        <v>1.5700169933021799</v>
      </c>
      <c r="F105">
        <v>0.68154750126602204</v>
      </c>
      <c r="G105">
        <v>1.5695295081293801</v>
      </c>
      <c r="H105">
        <v>2.46155490872016</v>
      </c>
      <c r="I105">
        <v>1.56962748173195</v>
      </c>
      <c r="J105">
        <v>0.45328306832899901</v>
      </c>
      <c r="K105">
        <v>267.21894972057203</v>
      </c>
    </row>
    <row r="106" spans="1:11" x14ac:dyDescent="0.2">
      <c r="A106">
        <v>86</v>
      </c>
      <c r="B106" t="s">
        <v>52</v>
      </c>
      <c r="C106" t="s">
        <v>196</v>
      </c>
      <c r="D106" t="s">
        <v>12</v>
      </c>
      <c r="E106">
        <v>0.158188808325991</v>
      </c>
      <c r="F106">
        <v>-0.29185071256577799</v>
      </c>
      <c r="G106">
        <v>0.15749659353046699</v>
      </c>
      <c r="H106">
        <v>0.61246117941941303</v>
      </c>
      <c r="I106">
        <v>0.15758809830446499</v>
      </c>
      <c r="J106">
        <v>0.22998058369812799</v>
      </c>
      <c r="K106">
        <v>267.21894972057203</v>
      </c>
    </row>
    <row r="107" spans="1:11" x14ac:dyDescent="0.2">
      <c r="A107">
        <v>87</v>
      </c>
      <c r="B107" t="s">
        <v>52</v>
      </c>
      <c r="C107" t="s">
        <v>196</v>
      </c>
      <c r="D107" t="s">
        <v>13</v>
      </c>
      <c r="E107">
        <v>-0.44859340528693398</v>
      </c>
      <c r="F107">
        <v>-1.0769309281200801</v>
      </c>
      <c r="G107">
        <v>-0.45176472190641098</v>
      </c>
      <c r="H107">
        <v>0.19848863173303999</v>
      </c>
      <c r="I107">
        <v>-0.45153044786074298</v>
      </c>
      <c r="J107">
        <v>0.32404932223244698</v>
      </c>
      <c r="K107">
        <v>267.21894972057203</v>
      </c>
    </row>
    <row r="108" spans="1:11" x14ac:dyDescent="0.2">
      <c r="A108">
        <v>80</v>
      </c>
      <c r="B108" t="s">
        <v>52</v>
      </c>
      <c r="C108" t="s">
        <v>196</v>
      </c>
      <c r="D108" t="s">
        <v>40</v>
      </c>
      <c r="E108">
        <v>0.40284372785130301</v>
      </c>
      <c r="F108">
        <v>0.19585294523133401</v>
      </c>
      <c r="G108">
        <v>0.40220853283802799</v>
      </c>
      <c r="H108">
        <v>0.61341083920943495</v>
      </c>
      <c r="I108">
        <v>0.40219840974068299</v>
      </c>
      <c r="J108">
        <v>0.106349740839083</v>
      </c>
      <c r="K108">
        <v>267.21894972057203</v>
      </c>
    </row>
    <row r="109" spans="1:11" x14ac:dyDescent="0.2">
      <c r="A109">
        <v>81</v>
      </c>
      <c r="B109" t="s">
        <v>52</v>
      </c>
      <c r="C109" t="s">
        <v>196</v>
      </c>
      <c r="D109" t="s">
        <v>14</v>
      </c>
      <c r="E109">
        <v>-0.229235152637773</v>
      </c>
      <c r="F109">
        <v>-1.11987372588724</v>
      </c>
      <c r="G109">
        <v>-0.224782519356335</v>
      </c>
      <c r="H109">
        <v>0.63606852097135302</v>
      </c>
      <c r="I109">
        <v>-0.22479579852293</v>
      </c>
      <c r="J109">
        <v>0.446916650755809</v>
      </c>
      <c r="K109">
        <v>267.21894972057203</v>
      </c>
    </row>
    <row r="110" spans="1:11" x14ac:dyDescent="0.2">
      <c r="A110">
        <v>82</v>
      </c>
      <c r="B110" t="s">
        <v>52</v>
      </c>
      <c r="C110" t="s">
        <v>196</v>
      </c>
      <c r="D110" t="s">
        <v>45</v>
      </c>
      <c r="E110">
        <v>8.2298491610009895E-3</v>
      </c>
      <c r="F110">
        <v>-0.18212142324486599</v>
      </c>
      <c r="G110">
        <v>8.1852709225171995E-3</v>
      </c>
      <c r="H110">
        <v>0.19886255805543199</v>
      </c>
      <c r="I110">
        <v>8.1948699640303994E-3</v>
      </c>
      <c r="J110">
        <v>9.7015152090435097E-2</v>
      </c>
      <c r="K110">
        <v>267.21894972057203</v>
      </c>
    </row>
    <row r="111" spans="1:11" x14ac:dyDescent="0.2">
      <c r="A111">
        <v>88</v>
      </c>
      <c r="B111" t="s">
        <v>52</v>
      </c>
      <c r="C111" t="s">
        <v>196</v>
      </c>
      <c r="D111" t="s">
        <v>19</v>
      </c>
      <c r="E111">
        <v>348.49682048656501</v>
      </c>
      <c r="F111">
        <v>86.582830220220401</v>
      </c>
      <c r="G111">
        <v>282.47937785478399</v>
      </c>
      <c r="H111">
        <v>1008.55757484807</v>
      </c>
      <c r="I111">
        <v>190.747112495132</v>
      </c>
      <c r="J111">
        <v>249.05867493001901</v>
      </c>
      <c r="K111">
        <v>267.21894972057203</v>
      </c>
    </row>
    <row r="112" spans="1:11" x14ac:dyDescent="0.2">
      <c r="A112">
        <v>89</v>
      </c>
      <c r="B112" t="s">
        <v>52</v>
      </c>
      <c r="C112" t="s">
        <v>196</v>
      </c>
      <c r="D112" t="s">
        <v>20</v>
      </c>
      <c r="E112">
        <v>2.0396675831723599</v>
      </c>
      <c r="F112">
        <v>0.68495996932746706</v>
      </c>
      <c r="G112">
        <v>1.84583857283584</v>
      </c>
      <c r="H112">
        <v>4.5103226834127801</v>
      </c>
      <c r="I112">
        <v>1.49074011245021</v>
      </c>
      <c r="J112">
        <v>0.997113894073266</v>
      </c>
      <c r="K112">
        <v>267.21894972057203</v>
      </c>
    </row>
  </sheetData>
  <pageMargins left="0.75" right="0.75" top="1" bottom="1" header="0.5" footer="0.5"/>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B2B6A-7F60-4649-AE70-E89B699B06E6}">
  <dimension ref="A1:AX121"/>
  <sheetViews>
    <sheetView tabSelected="1" topLeftCell="K10" zoomScale="89" zoomScaleNormal="89" workbookViewId="0">
      <selection activeCell="AU15" sqref="AU15"/>
    </sheetView>
  </sheetViews>
  <sheetFormatPr baseColWidth="10" defaultRowHeight="13" x14ac:dyDescent="0.15"/>
  <cols>
    <col min="1" max="1" width="17.6640625" style="32" customWidth="1"/>
    <col min="2" max="2" width="63" style="32" customWidth="1"/>
    <col min="3" max="3" width="26.1640625" style="32" customWidth="1"/>
    <col min="4" max="4" width="13.33203125" style="32" customWidth="1"/>
    <col min="5" max="9" width="10.83203125" style="32"/>
    <col min="10" max="10" width="13" style="32" customWidth="1"/>
    <col min="11" max="12" width="14.5" style="32" customWidth="1"/>
    <col min="13" max="13" width="34.5" style="32" customWidth="1"/>
    <col min="14" max="16" width="10.83203125" style="32"/>
    <col min="17" max="17" width="16.83203125" style="32" customWidth="1"/>
    <col min="18" max="18" width="12.1640625" style="32" customWidth="1"/>
    <col min="19" max="19" width="33.83203125" style="32" customWidth="1"/>
    <col min="20" max="20" width="10.83203125" style="32"/>
    <col min="21" max="21" width="15" style="32" bestFit="1" customWidth="1"/>
    <col min="22" max="22" width="13.6640625" style="32" bestFit="1" customWidth="1"/>
    <col min="23" max="23" width="20.1640625" style="32" customWidth="1"/>
    <col min="24" max="24" width="10.83203125" style="32"/>
    <col min="25" max="25" width="21.83203125" style="32" customWidth="1"/>
    <col min="26" max="26" width="15" style="32" bestFit="1" customWidth="1"/>
    <col min="27" max="27" width="17.1640625" style="32" customWidth="1"/>
    <col min="28" max="48" width="10.83203125" style="32"/>
    <col min="49" max="49" width="12.1640625" style="32" bestFit="1" customWidth="1"/>
    <col min="50" max="50" width="14.6640625" style="32" bestFit="1" customWidth="1"/>
    <col min="51" max="16384" width="10.83203125" style="32"/>
  </cols>
  <sheetData>
    <row r="1" spans="1:50" x14ac:dyDescent="0.15">
      <c r="A1" s="32" t="s">
        <v>0</v>
      </c>
      <c r="B1" s="32" t="s">
        <v>1</v>
      </c>
      <c r="C1" s="32" t="s">
        <v>2</v>
      </c>
      <c r="D1" s="32" t="s">
        <v>3</v>
      </c>
      <c r="E1" s="32" t="s">
        <v>4</v>
      </c>
      <c r="F1" s="32" t="s">
        <v>5</v>
      </c>
      <c r="G1" s="32" t="s">
        <v>6</v>
      </c>
      <c r="H1" s="32" t="s">
        <v>7</v>
      </c>
      <c r="I1" s="32" t="s">
        <v>8</v>
      </c>
      <c r="J1" s="32" t="s">
        <v>9</v>
      </c>
      <c r="K1" s="55"/>
      <c r="L1" s="55"/>
      <c r="O1" s="55"/>
      <c r="P1" s="55"/>
      <c r="Q1" s="55"/>
      <c r="R1" s="55"/>
      <c r="S1" s="55"/>
      <c r="T1" s="55"/>
      <c r="U1" s="55"/>
      <c r="V1" s="55"/>
      <c r="W1" s="55"/>
      <c r="X1" s="55"/>
      <c r="Y1" s="55"/>
      <c r="Z1" s="55"/>
      <c r="AA1" s="55"/>
      <c r="AB1" s="55"/>
    </row>
    <row r="2" spans="1:50" x14ac:dyDescent="0.15">
      <c r="A2" s="32" t="s">
        <v>10</v>
      </c>
      <c r="B2" s="32" t="s">
        <v>11</v>
      </c>
      <c r="C2" s="32" t="s">
        <v>12</v>
      </c>
      <c r="D2" s="32">
        <v>0.62039678139909105</v>
      </c>
      <c r="E2" s="32">
        <v>0.32828092756757199</v>
      </c>
      <c r="F2" s="32">
        <v>0.62039678139909105</v>
      </c>
      <c r="G2" s="32">
        <v>0.91251263523060899</v>
      </c>
      <c r="H2" s="32">
        <v>0.62039678139909105</v>
      </c>
      <c r="I2" s="32">
        <v>0.14904143960587601</v>
      </c>
      <c r="J2" s="32">
        <v>364.020625307795</v>
      </c>
      <c r="K2" s="55"/>
      <c r="L2" s="55"/>
      <c r="M2" s="55"/>
      <c r="N2" s="55"/>
      <c r="O2" s="55"/>
      <c r="P2" s="55"/>
      <c r="Q2" s="55"/>
      <c r="R2" s="55"/>
      <c r="S2" s="55"/>
      <c r="T2" s="55"/>
      <c r="U2" s="55"/>
      <c r="V2" s="55"/>
      <c r="W2" s="55"/>
      <c r="X2" s="55"/>
      <c r="Y2" s="55"/>
      <c r="Z2" s="55"/>
      <c r="AA2" s="55"/>
      <c r="AB2" s="55"/>
      <c r="AN2" s="56" t="s">
        <v>138</v>
      </c>
      <c r="AO2" s="55"/>
      <c r="AP2" s="55"/>
      <c r="AQ2" s="55"/>
      <c r="AR2" s="55"/>
      <c r="AS2" s="55"/>
      <c r="AT2" s="56" t="s">
        <v>145</v>
      </c>
      <c r="AU2" s="55"/>
      <c r="AV2" s="55"/>
      <c r="AW2" s="55"/>
      <c r="AX2" s="55"/>
    </row>
    <row r="3" spans="1:50" x14ac:dyDescent="0.15">
      <c r="A3" s="32" t="s">
        <v>10</v>
      </c>
      <c r="B3" s="32" t="s">
        <v>11</v>
      </c>
      <c r="C3" s="32" t="s">
        <v>13</v>
      </c>
      <c r="D3" s="32">
        <v>0.48070000734988899</v>
      </c>
      <c r="E3" s="32">
        <v>0.18855540259349099</v>
      </c>
      <c r="F3" s="32">
        <v>0.48070000734988899</v>
      </c>
      <c r="G3" s="32">
        <v>0.77284461210628597</v>
      </c>
      <c r="H3" s="32">
        <v>0.48070000734988899</v>
      </c>
      <c r="I3" s="32">
        <v>0.149056108714648</v>
      </c>
      <c r="J3" s="32">
        <v>364.020625307795</v>
      </c>
      <c r="K3" s="55"/>
      <c r="L3" s="55"/>
      <c r="M3" s="56" t="s">
        <v>138</v>
      </c>
      <c r="N3" s="55"/>
      <c r="O3" s="55"/>
      <c r="P3" s="55"/>
      <c r="Q3" s="55"/>
      <c r="R3" s="55"/>
      <c r="S3" s="56" t="s">
        <v>145</v>
      </c>
      <c r="T3" s="55"/>
      <c r="U3" s="55"/>
      <c r="V3" s="55"/>
      <c r="W3" s="55"/>
      <c r="X3" s="55"/>
      <c r="Y3" s="56" t="s">
        <v>183</v>
      </c>
      <c r="Z3" s="55"/>
      <c r="AA3" s="55"/>
      <c r="AB3" s="55" t="s">
        <v>146</v>
      </c>
      <c r="AN3" s="57"/>
      <c r="AO3" s="58" t="s">
        <v>5</v>
      </c>
      <c r="AP3" s="59">
        <v>2.5000000000000001E-2</v>
      </c>
      <c r="AQ3" s="59">
        <v>0.97499999999999998</v>
      </c>
      <c r="AR3" s="60" t="s">
        <v>132</v>
      </c>
      <c r="AS3" s="55"/>
      <c r="AT3" s="57"/>
      <c r="AU3" s="58" t="s">
        <v>5</v>
      </c>
      <c r="AV3" s="59">
        <v>2.5000000000000001E-2</v>
      </c>
      <c r="AW3" s="59">
        <v>0.97499999999999998</v>
      </c>
      <c r="AX3" s="60" t="s">
        <v>132</v>
      </c>
    </row>
    <row r="4" spans="1:50" x14ac:dyDescent="0.15">
      <c r="A4" s="32" t="s">
        <v>10</v>
      </c>
      <c r="B4" s="32" t="s">
        <v>11</v>
      </c>
      <c r="C4" s="32" t="s">
        <v>14</v>
      </c>
      <c r="D4" s="32">
        <v>-1.2903547436095899</v>
      </c>
      <c r="E4" s="32">
        <v>-2.49156416796776</v>
      </c>
      <c r="F4" s="32">
        <v>-1.2903547436095899</v>
      </c>
      <c r="G4" s="32">
        <v>-8.9145319251410296E-2</v>
      </c>
      <c r="H4" s="32">
        <v>-1.2903547436095899</v>
      </c>
      <c r="I4" s="32">
        <v>0.61287321289225805</v>
      </c>
      <c r="J4" s="32">
        <v>364.020625307795</v>
      </c>
      <c r="K4" s="55"/>
      <c r="L4" s="55"/>
      <c r="M4" s="57"/>
      <c r="N4" s="58" t="s">
        <v>5</v>
      </c>
      <c r="O4" s="59">
        <v>2.5000000000000001E-2</v>
      </c>
      <c r="P4" s="59">
        <v>0.97499999999999998</v>
      </c>
      <c r="Q4" s="60" t="s">
        <v>132</v>
      </c>
      <c r="R4" s="55"/>
      <c r="S4" s="57"/>
      <c r="T4" s="58" t="s">
        <v>5</v>
      </c>
      <c r="U4" s="59">
        <v>2.5000000000000001E-2</v>
      </c>
      <c r="V4" s="59">
        <v>0.97499999999999998</v>
      </c>
      <c r="W4" s="60" t="s">
        <v>132</v>
      </c>
      <c r="X4" s="55"/>
      <c r="Y4" s="61"/>
      <c r="Z4" s="62" t="s">
        <v>136</v>
      </c>
      <c r="AA4" s="62" t="s">
        <v>135</v>
      </c>
      <c r="AB4" s="55"/>
      <c r="AN4" s="61" t="s">
        <v>140</v>
      </c>
      <c r="AO4" s="61" t="s">
        <v>139</v>
      </c>
      <c r="AP4" s="61"/>
      <c r="AQ4" s="61"/>
      <c r="AR4" s="63"/>
      <c r="AS4" s="55"/>
      <c r="AT4" s="55" t="s">
        <v>141</v>
      </c>
      <c r="AU4" s="55" t="s">
        <v>139</v>
      </c>
      <c r="AV4" s="55"/>
      <c r="AW4" s="55"/>
      <c r="AX4" s="63" t="s">
        <v>139</v>
      </c>
    </row>
    <row r="5" spans="1:50" x14ac:dyDescent="0.15">
      <c r="A5" s="32" t="s">
        <v>10</v>
      </c>
      <c r="B5" s="32" t="s">
        <v>11</v>
      </c>
      <c r="C5" s="32" t="s">
        <v>15</v>
      </c>
      <c r="D5" s="32">
        <v>-0.63637545272524398</v>
      </c>
      <c r="E5" s="32">
        <v>-1.2525740520459001</v>
      </c>
      <c r="F5" s="32">
        <v>-0.63637545272524398</v>
      </c>
      <c r="G5" s="32">
        <v>-2.01768534045936E-2</v>
      </c>
      <c r="H5" s="32">
        <v>-0.63637545272524398</v>
      </c>
      <c r="I5" s="32">
        <v>0.31439281751151898</v>
      </c>
      <c r="J5" s="32">
        <v>364.020625307795</v>
      </c>
      <c r="K5" s="55"/>
      <c r="L5" s="55"/>
      <c r="M5" s="61" t="s">
        <v>141</v>
      </c>
      <c r="N5" s="61" t="s">
        <v>139</v>
      </c>
      <c r="O5" s="61"/>
      <c r="P5" s="61"/>
      <c r="Q5" s="63"/>
      <c r="R5" s="55"/>
      <c r="S5" s="55" t="s">
        <v>141</v>
      </c>
      <c r="T5" s="55" t="s">
        <v>139</v>
      </c>
      <c r="U5" s="55"/>
      <c r="V5" s="55"/>
      <c r="W5" s="63" t="s">
        <v>139</v>
      </c>
      <c r="X5" s="55"/>
      <c r="Y5" s="64"/>
      <c r="Z5" s="65" t="s">
        <v>132</v>
      </c>
      <c r="AA5" s="65" t="s">
        <v>132</v>
      </c>
      <c r="AB5" s="55"/>
      <c r="AN5" s="55" t="s">
        <v>208</v>
      </c>
      <c r="AO5" s="55">
        <f>1.158</f>
        <v>1.1579999999999999</v>
      </c>
      <c r="AP5" s="55">
        <v>-0.17699999999999999</v>
      </c>
      <c r="AQ5" s="55">
        <v>1.1579999999999999</v>
      </c>
      <c r="AR5" s="63" t="str">
        <f>CONCATENATE(TEXT(ROUND(AO5, 2), "0.00"), " (", TEXT(ROUND(AP5, 2), "0.00"), ",", TEXT(ROUND(AQ5, 2), "0.00"), ")")</f>
        <v>1.16 (-0.18,1.16)</v>
      </c>
      <c r="AS5" s="55"/>
      <c r="AT5" s="55" t="s">
        <v>142</v>
      </c>
      <c r="AU5" s="55">
        <f>EXP(AO5)</f>
        <v>3.1835597851793858</v>
      </c>
      <c r="AV5" s="55">
        <f>EXP(AP5)</f>
        <v>0.83777978452299384</v>
      </c>
      <c r="AW5" s="55">
        <f>EXP(AQ5)</f>
        <v>3.1835597851793858</v>
      </c>
      <c r="AX5" s="66" t="str">
        <f>CONCATENATE(TEXT(ROUND(AU5, 2), "0.00"), " (", TEXT(ROUND(AV5, 2), "0.00"), ",", TEXT(ROUND(AW5, 2), "0.00"), ")")</f>
        <v>3.18 (0.84,3.18)</v>
      </c>
    </row>
    <row r="6" spans="1:50" x14ac:dyDescent="0.15">
      <c r="A6" s="32" t="s">
        <v>10</v>
      </c>
      <c r="B6" s="32" t="s">
        <v>11</v>
      </c>
      <c r="C6" s="32" t="s">
        <v>16</v>
      </c>
      <c r="D6" s="32">
        <v>1.6357986103751201</v>
      </c>
      <c r="E6" s="32">
        <v>0.25342577975337299</v>
      </c>
      <c r="F6" s="32">
        <v>1.6357986103751201</v>
      </c>
      <c r="G6" s="32">
        <v>3.0181714409968698</v>
      </c>
      <c r="H6" s="32">
        <v>1.6357986103751201</v>
      </c>
      <c r="I6" s="32">
        <v>0.70530522067024304</v>
      </c>
      <c r="J6" s="32">
        <v>364.020625307795</v>
      </c>
      <c r="K6" s="55"/>
      <c r="L6" s="55"/>
      <c r="M6" s="55" t="s">
        <v>142</v>
      </c>
      <c r="N6" s="55">
        <f>F10</f>
        <v>-0.47473554786038002</v>
      </c>
      <c r="O6" s="55">
        <f>E10</f>
        <v>-1.1574214435746799</v>
      </c>
      <c r="P6" s="55">
        <f>G10</f>
        <v>0.20337518582563299</v>
      </c>
      <c r="Q6" s="63" t="str">
        <f>CONCATENATE(TEXT(ROUND(N6, 2), "0.00"), " (", TEXT(ROUND(O6, 2), "0.00"), ",", TEXT(ROUND(P6, 2), "0.00"), ")")</f>
        <v>-0.47 (-1.16,0.20)</v>
      </c>
      <c r="R6" s="55"/>
      <c r="S6" s="55" t="s">
        <v>142</v>
      </c>
      <c r="T6" s="55">
        <f t="shared" ref="T6:V7" si="0">EXP(N6)</f>
        <v>0.62204953704646215</v>
      </c>
      <c r="U6" s="55">
        <f t="shared" si="0"/>
        <v>0.31429556576239692</v>
      </c>
      <c r="V6" s="55">
        <f t="shared" si="0"/>
        <v>1.2255321843070408</v>
      </c>
      <c r="W6" s="66" t="str">
        <f>CONCATENATE(TEXT(ROUND(T6, 2), "0.00"), " (", TEXT(ROUND(U6, 2), "0.00"), ",", TEXT(ROUND(V6, 2), "0.00"), ")")</f>
        <v>0.62 (0.31,1.23)</v>
      </c>
      <c r="X6" s="55"/>
      <c r="Y6" s="55" t="s">
        <v>137</v>
      </c>
      <c r="Z6" s="63">
        <v>1</v>
      </c>
      <c r="AA6" s="63" t="str">
        <f>W7</f>
        <v>0.24 (0.07,0.85)</v>
      </c>
      <c r="AB6" s="55"/>
      <c r="AN6" s="55" t="s">
        <v>141</v>
      </c>
      <c r="AO6" s="55"/>
      <c r="AP6" s="55"/>
      <c r="AQ6" s="55"/>
      <c r="AR6" s="63"/>
      <c r="AS6" s="55"/>
      <c r="AT6" s="55" t="s">
        <v>140</v>
      </c>
      <c r="AU6" s="55">
        <f t="shared" ref="AU6" si="1">EXP(AO6)</f>
        <v>1</v>
      </c>
      <c r="AV6" s="55">
        <f t="shared" ref="AV6" si="2">EXP(AP6)</f>
        <v>1</v>
      </c>
      <c r="AW6" s="55">
        <f t="shared" ref="AW6" si="3">EXP(AQ6)</f>
        <v>1</v>
      </c>
      <c r="AX6" s="66" t="str">
        <f>CONCATENATE(TEXT(ROUND(AU6, 2), "0.00"), " (", TEXT(ROUND(AV6, 2), "0.00"), ",", TEXT(ROUND(AW6, 2), "0.00"), ")")</f>
        <v>1.00 (1.00,1.00)</v>
      </c>
    </row>
    <row r="7" spans="1:50" x14ac:dyDescent="0.15">
      <c r="A7" s="55" t="s">
        <v>17</v>
      </c>
      <c r="B7" s="55" t="s">
        <v>18</v>
      </c>
      <c r="C7" s="55" t="s">
        <v>12</v>
      </c>
      <c r="D7" s="55">
        <v>0.61884109355618599</v>
      </c>
      <c r="E7" s="55">
        <v>0.29329182822695998</v>
      </c>
      <c r="F7" s="55">
        <v>0.61810398375655595</v>
      </c>
      <c r="G7" s="55">
        <v>0.94862684742802805</v>
      </c>
      <c r="H7" s="55">
        <v>0.618113370745772</v>
      </c>
      <c r="I7" s="55">
        <v>0.167031586703557</v>
      </c>
      <c r="J7" s="55">
        <v>329.87965647219897</v>
      </c>
      <c r="K7" s="55"/>
      <c r="L7" s="55"/>
      <c r="M7" s="55" t="s">
        <v>140</v>
      </c>
      <c r="N7" s="55">
        <f>F9</f>
        <v>-1.4420701824006801</v>
      </c>
      <c r="O7" s="55">
        <f>E9</f>
        <v>-2.73220031035456</v>
      </c>
      <c r="P7" s="55">
        <f>G9</f>
        <v>-0.15980820442090199</v>
      </c>
      <c r="Q7" s="63" t="str">
        <f>CONCATENATE(TEXT(ROUND(N7, 2), "0.00"), " (", TEXT(ROUND(O7, 2), "0.00"), "-", TEXT(ROUND(P7, 2), "0.00"), ")")</f>
        <v>-1.44 (-2.73--0.16)</v>
      </c>
      <c r="R7" s="55"/>
      <c r="S7" s="55" t="s">
        <v>140</v>
      </c>
      <c r="T7" s="55">
        <f t="shared" si="0"/>
        <v>0.23643778235104324</v>
      </c>
      <c r="U7" s="55">
        <f t="shared" si="0"/>
        <v>6.5075944749240444E-2</v>
      </c>
      <c r="V7" s="55">
        <f t="shared" si="0"/>
        <v>0.8523072420519795</v>
      </c>
      <c r="W7" s="66" t="str">
        <f>CONCATENATE(TEXT(ROUND(T7, 2), "0.00"), " (", TEXT(ROUND(U7, 2), "0.00"), ",", TEXT(ROUND(V7, 2), "0.00"), ")")</f>
        <v>0.24 (0.07,0.85)</v>
      </c>
      <c r="X7" s="55"/>
      <c r="Y7" s="64" t="s">
        <v>15</v>
      </c>
      <c r="Z7" s="65" t="str">
        <f>W6</f>
        <v>0.62 (0.31,1.23)</v>
      </c>
      <c r="AA7" s="65" t="str">
        <f>W8</f>
        <v>0.75 (0.31,1.70)</v>
      </c>
      <c r="AB7" s="55"/>
      <c r="AN7" s="64" t="s">
        <v>142</v>
      </c>
      <c r="AO7" s="64"/>
      <c r="AP7" s="64"/>
      <c r="AQ7" s="64"/>
      <c r="AR7" s="65"/>
      <c r="AS7" s="55"/>
      <c r="AT7" s="64" t="s">
        <v>143</v>
      </c>
      <c r="AU7" s="64">
        <v>0.75111130000000004</v>
      </c>
      <c r="AV7" s="64">
        <v>0.3091855</v>
      </c>
      <c r="AW7" s="64">
        <v>1.7031448</v>
      </c>
      <c r="AX7" s="67" t="str">
        <f>CONCATENATE(TEXT(ROUND(AU7, 2), "0.00"), " (", TEXT(ROUND(AV7, 2), "0.00"), ",", TEXT(ROUND(AW7, 2), "0.00"), ")")</f>
        <v>0.75 (0.31,1.70)</v>
      </c>
    </row>
    <row r="8" spans="1:50" x14ac:dyDescent="0.15">
      <c r="A8" s="55" t="s">
        <v>17</v>
      </c>
      <c r="B8" s="55" t="s">
        <v>18</v>
      </c>
      <c r="C8" s="55" t="s">
        <v>13</v>
      </c>
      <c r="D8" s="55">
        <v>0.60532096799655499</v>
      </c>
      <c r="E8" s="55">
        <v>0.27227053022069497</v>
      </c>
      <c r="F8" s="55">
        <v>0.60426064824570502</v>
      </c>
      <c r="G8" s="55">
        <v>0.94447670790079796</v>
      </c>
      <c r="H8" s="55">
        <v>0.60427704199895405</v>
      </c>
      <c r="I8" s="55">
        <v>0.17131753693203</v>
      </c>
      <c r="J8" s="55">
        <v>329.87965647219897</v>
      </c>
      <c r="K8" s="55"/>
      <c r="L8" s="55"/>
      <c r="M8" s="64" t="s">
        <v>143</v>
      </c>
      <c r="N8" s="64">
        <v>-0.2862015</v>
      </c>
      <c r="O8" s="64">
        <v>-1.1738143000000001</v>
      </c>
      <c r="P8" s="64">
        <v>0.53247529999999998</v>
      </c>
      <c r="Q8" s="65" t="str">
        <f>CONCATENATE(TEXT(ROUND(N8, 2), "0.00"), " (", TEXT(ROUND(O8, 2), "0.00"), "-", TEXT(ROUND(P8, 2), "0.00"), ")")</f>
        <v>-0.29 (-1.17-0.53)</v>
      </c>
      <c r="R8" s="55"/>
      <c r="S8" s="64" t="s">
        <v>143</v>
      </c>
      <c r="T8" s="64">
        <v>0.75111130000000004</v>
      </c>
      <c r="U8" s="64">
        <v>0.3091855</v>
      </c>
      <c r="V8" s="64">
        <v>1.7031448</v>
      </c>
      <c r="W8" s="67" t="str">
        <f>CONCATENATE(TEXT(ROUND(T8, 2), "0.00"), " (", TEXT(ROUND(U8, 2), "0.00"), ",", TEXT(ROUND(V8, 2), "0.00"), ")")</f>
        <v>0.75 (0.31,1.70)</v>
      </c>
      <c r="X8" s="55"/>
      <c r="Y8" s="55"/>
      <c r="Z8" s="55"/>
      <c r="AA8" s="55"/>
      <c r="AB8" s="55"/>
    </row>
    <row r="9" spans="1:50" x14ac:dyDescent="0.15">
      <c r="A9" s="55" t="s">
        <v>17</v>
      </c>
      <c r="B9" s="55" t="s">
        <v>18</v>
      </c>
      <c r="C9" s="55" t="s">
        <v>14</v>
      </c>
      <c r="D9" s="55">
        <v>-1.4430890464948001</v>
      </c>
      <c r="E9" s="55">
        <v>-2.73220031035456</v>
      </c>
      <c r="F9" s="55">
        <v>-1.4420701824006801</v>
      </c>
      <c r="G9" s="55">
        <v>-0.15980820442090199</v>
      </c>
      <c r="H9" s="55">
        <v>-1.4420746001617299</v>
      </c>
      <c r="I9" s="55">
        <v>0.65583811717305296</v>
      </c>
      <c r="J9" s="55">
        <v>329.87965647219897</v>
      </c>
      <c r="K9" s="55"/>
      <c r="L9" s="55"/>
      <c r="M9" s="55" t="s">
        <v>144</v>
      </c>
      <c r="N9" s="55"/>
      <c r="O9" s="55"/>
      <c r="P9" s="55"/>
      <c r="Q9" s="63"/>
      <c r="R9" s="55" t="s">
        <v>146</v>
      </c>
      <c r="S9" s="55" t="s">
        <v>144</v>
      </c>
      <c r="T9" s="55"/>
      <c r="U9" s="55"/>
      <c r="V9" s="55"/>
      <c r="W9" s="55"/>
      <c r="X9" s="55" t="s">
        <v>146</v>
      </c>
      <c r="Y9" s="55"/>
      <c r="Z9" s="55"/>
      <c r="AA9" s="55"/>
      <c r="AB9" s="55"/>
    </row>
    <row r="10" spans="1:50" x14ac:dyDescent="0.15">
      <c r="A10" s="55" t="s">
        <v>17</v>
      </c>
      <c r="B10" s="55" t="s">
        <v>18</v>
      </c>
      <c r="C10" s="55" t="s">
        <v>15</v>
      </c>
      <c r="D10" s="55">
        <v>-0.47532327601791102</v>
      </c>
      <c r="E10" s="55">
        <v>-1.1574214435746799</v>
      </c>
      <c r="F10" s="55">
        <v>-0.47473554786038002</v>
      </c>
      <c r="G10" s="55">
        <v>0.20337518582563299</v>
      </c>
      <c r="H10" s="55">
        <v>-0.47474938708539399</v>
      </c>
      <c r="I10" s="55">
        <v>0.346884951166189</v>
      </c>
      <c r="J10" s="55">
        <v>329.87965647219897</v>
      </c>
      <c r="K10" s="55"/>
      <c r="L10" s="55"/>
      <c r="M10" s="55"/>
      <c r="N10" s="55"/>
      <c r="O10" s="55"/>
      <c r="P10" s="55"/>
      <c r="Q10" s="63"/>
      <c r="R10" s="55"/>
      <c r="S10" s="55"/>
      <c r="T10" s="55"/>
      <c r="U10" s="55"/>
      <c r="V10" s="55"/>
      <c r="W10" s="55"/>
      <c r="X10" s="55"/>
      <c r="Y10" s="55"/>
      <c r="Z10" s="63"/>
      <c r="AA10" s="63"/>
      <c r="AB10" s="55"/>
    </row>
    <row r="11" spans="1:50" x14ac:dyDescent="0.15">
      <c r="A11" s="55" t="s">
        <v>17</v>
      </c>
      <c r="B11" s="55" t="s">
        <v>18</v>
      </c>
      <c r="C11" s="55" t="s">
        <v>16</v>
      </c>
      <c r="D11" s="55">
        <v>1.6342748467531401</v>
      </c>
      <c r="E11" s="55">
        <v>0.14966247275245001</v>
      </c>
      <c r="F11" s="55">
        <v>1.6338097228744</v>
      </c>
      <c r="G11" s="55">
        <v>3.1215497907319301</v>
      </c>
      <c r="H11" s="55">
        <v>1.6338120177647999</v>
      </c>
      <c r="I11" s="55">
        <v>0.75770130297253602</v>
      </c>
      <c r="J11" s="55">
        <v>329.87965647219897</v>
      </c>
      <c r="K11" s="55"/>
      <c r="L11" s="55"/>
      <c r="M11" s="56" t="s">
        <v>138</v>
      </c>
      <c r="N11" s="55"/>
      <c r="O11" s="55"/>
      <c r="P11" s="55"/>
      <c r="Q11" s="55"/>
      <c r="R11" s="55"/>
      <c r="S11" s="56" t="s">
        <v>145</v>
      </c>
      <c r="T11" s="55"/>
      <c r="U11" s="55"/>
      <c r="V11" s="55"/>
      <c r="W11" s="55"/>
      <c r="X11" s="55"/>
      <c r="Y11" s="56" t="s">
        <v>183</v>
      </c>
      <c r="Z11" s="55"/>
      <c r="AA11" s="55"/>
      <c r="AB11" s="55" t="s">
        <v>146</v>
      </c>
    </row>
    <row r="12" spans="1:50" x14ac:dyDescent="0.15">
      <c r="A12" s="55" t="s">
        <v>17</v>
      </c>
      <c r="B12" s="55" t="s">
        <v>18</v>
      </c>
      <c r="C12" s="55" t="s">
        <v>19</v>
      </c>
      <c r="D12" s="55">
        <v>3468.4689758119598</v>
      </c>
      <c r="E12" s="55">
        <v>1235.12896633789</v>
      </c>
      <c r="F12" s="55">
        <v>3035.35316939416</v>
      </c>
      <c r="G12" s="55">
        <v>8292.7284207474895</v>
      </c>
      <c r="H12" s="55">
        <v>2356.0853235955901</v>
      </c>
      <c r="I12" s="55">
        <v>1856.7314607498099</v>
      </c>
      <c r="J12" s="55">
        <v>329.87965647219897</v>
      </c>
      <c r="K12" s="55"/>
      <c r="L12" s="55"/>
      <c r="M12" s="57"/>
      <c r="N12" s="58" t="s">
        <v>5</v>
      </c>
      <c r="O12" s="59">
        <v>2.5000000000000001E-2</v>
      </c>
      <c r="P12" s="59">
        <v>0.97499999999999998</v>
      </c>
      <c r="Q12" s="60" t="s">
        <v>132</v>
      </c>
      <c r="R12" s="55"/>
      <c r="S12" s="57"/>
      <c r="T12" s="58" t="s">
        <v>5</v>
      </c>
      <c r="U12" s="59">
        <v>2.5000000000000001E-2</v>
      </c>
      <c r="V12" s="59">
        <v>0.97499999999999998</v>
      </c>
      <c r="W12" s="60" t="s">
        <v>132</v>
      </c>
      <c r="X12" s="55"/>
      <c r="Y12" s="61"/>
      <c r="Z12" s="62" t="s">
        <v>136</v>
      </c>
      <c r="AA12" s="62" t="s">
        <v>135</v>
      </c>
      <c r="AB12" s="55"/>
    </row>
    <row r="13" spans="1:50" x14ac:dyDescent="0.15">
      <c r="A13" s="55" t="s">
        <v>17</v>
      </c>
      <c r="B13" s="55" t="s">
        <v>18</v>
      </c>
      <c r="C13" s="55" t="s">
        <v>20</v>
      </c>
      <c r="D13" s="55">
        <v>1.0980550475850199</v>
      </c>
      <c r="E13" s="55">
        <v>0.63607989928046205</v>
      </c>
      <c r="F13" s="55">
        <v>1.06536389493488</v>
      </c>
      <c r="G13" s="55">
        <v>1.74827179198467</v>
      </c>
      <c r="H13" s="55">
        <v>1.00521352778506</v>
      </c>
      <c r="I13" s="55">
        <v>0.284543473080278</v>
      </c>
      <c r="J13" s="55">
        <v>329.87965647219897</v>
      </c>
      <c r="K13" s="55"/>
      <c r="L13" s="55"/>
      <c r="M13" s="55" t="s">
        <v>140</v>
      </c>
      <c r="N13" s="55" t="s">
        <v>139</v>
      </c>
      <c r="O13" s="55"/>
      <c r="P13" s="55"/>
      <c r="Q13" s="63" t="s">
        <v>139</v>
      </c>
      <c r="R13" s="55"/>
      <c r="S13" s="55" t="s">
        <v>140</v>
      </c>
      <c r="T13" s="55" t="s">
        <v>139</v>
      </c>
      <c r="U13" s="55"/>
      <c r="V13" s="55"/>
      <c r="W13" s="63" t="s">
        <v>139</v>
      </c>
      <c r="X13" s="55"/>
      <c r="Y13" s="64"/>
      <c r="Z13" s="65" t="s">
        <v>132</v>
      </c>
      <c r="AA13" s="65" t="s">
        <v>132</v>
      </c>
      <c r="AB13" s="55"/>
    </row>
    <row r="14" spans="1:50" x14ac:dyDescent="0.15">
      <c r="A14" s="32" t="s">
        <v>21</v>
      </c>
      <c r="B14" s="32" t="s">
        <v>22</v>
      </c>
      <c r="C14" s="32" t="s">
        <v>12</v>
      </c>
      <c r="D14" s="32">
        <v>0.62941269110729503</v>
      </c>
      <c r="E14" s="32">
        <v>0.30585920897686503</v>
      </c>
      <c r="F14" s="32">
        <v>0.62867765982650803</v>
      </c>
      <c r="G14" s="32">
        <v>0.95718918889537696</v>
      </c>
      <c r="H14" s="32">
        <v>0.62868650283523997</v>
      </c>
      <c r="I14" s="32">
        <v>0.166013004838344</v>
      </c>
      <c r="J14" s="32">
        <v>332.03528865229498</v>
      </c>
      <c r="K14" s="55"/>
      <c r="L14" s="55"/>
      <c r="M14" s="64" t="s">
        <v>143</v>
      </c>
      <c r="N14" s="64">
        <v>-0.17314570000000001</v>
      </c>
      <c r="O14" s="64">
        <v>1.1550678000000001</v>
      </c>
      <c r="P14" s="64">
        <v>2.4624511999999998</v>
      </c>
      <c r="Q14" s="67" t="str">
        <f>CONCATENATE(TEXT(ROUND(N14, 2), "0.00"), " (", TEXT(ROUND(O14, 2), "0.00"), ",", TEXT(ROUND(P14, 2), "0.00"), ")")</f>
        <v>-0.17 (1.16,2.46)</v>
      </c>
      <c r="R14" s="55"/>
      <c r="S14" s="64" t="s">
        <v>143</v>
      </c>
      <c r="T14" s="64">
        <v>3.1742387000000001</v>
      </c>
      <c r="U14" s="64">
        <v>0.84101510000000002</v>
      </c>
      <c r="V14" s="64">
        <v>11.7335385</v>
      </c>
      <c r="W14" s="67" t="str">
        <f>CONCATENATE(TEXT(ROUND(T14, 2), "0.00"), " (", TEXT(ROUND(U14, 2), "0.00"), ",", TEXT(ROUND(V14, 2), "0.00"), ")")</f>
        <v>3.17 (0.84,11.73)</v>
      </c>
      <c r="X14" s="55"/>
      <c r="Y14" s="55" t="s">
        <v>137</v>
      </c>
      <c r="Z14" s="68" t="s">
        <v>119</v>
      </c>
      <c r="AA14" s="63">
        <v>1</v>
      </c>
      <c r="AB14" s="55"/>
    </row>
    <row r="15" spans="1:50" x14ac:dyDescent="0.15">
      <c r="A15" s="32" t="s">
        <v>21</v>
      </c>
      <c r="B15" s="32" t="s">
        <v>22</v>
      </c>
      <c r="C15" s="32" t="s">
        <v>13</v>
      </c>
      <c r="D15" s="32">
        <v>0.58090560289069704</v>
      </c>
      <c r="E15" s="32">
        <v>0.25267234191344501</v>
      </c>
      <c r="F15" s="32">
        <v>0.57992602974926</v>
      </c>
      <c r="G15" s="32">
        <v>0.91477784565723796</v>
      </c>
      <c r="H15" s="32">
        <v>0.57994065285848895</v>
      </c>
      <c r="I15" s="32">
        <v>0.16874893328434001</v>
      </c>
      <c r="J15" s="32">
        <v>332.03528865229498</v>
      </c>
      <c r="K15" s="55"/>
      <c r="L15" s="55"/>
      <c r="M15" s="55" t="s">
        <v>144</v>
      </c>
      <c r="N15" s="55"/>
      <c r="O15" s="55"/>
      <c r="P15" s="55"/>
      <c r="Q15" s="55"/>
      <c r="R15" s="55" t="s">
        <v>146</v>
      </c>
      <c r="S15" s="55" t="s">
        <v>144</v>
      </c>
      <c r="T15" s="55"/>
      <c r="U15" s="55"/>
      <c r="V15" s="55"/>
      <c r="W15" s="55"/>
      <c r="X15" s="55" t="s">
        <v>146</v>
      </c>
      <c r="Y15" s="64" t="s">
        <v>15</v>
      </c>
      <c r="Z15" s="69" t="s">
        <v>119</v>
      </c>
      <c r="AA15" s="65" t="str">
        <f>W14</f>
        <v>3.17 (0.84,11.73)</v>
      </c>
      <c r="AB15" s="55"/>
    </row>
    <row r="16" spans="1:50" x14ac:dyDescent="0.15">
      <c r="A16" s="32" t="s">
        <v>21</v>
      </c>
      <c r="B16" s="32" t="s">
        <v>22</v>
      </c>
      <c r="C16" s="32" t="s">
        <v>14</v>
      </c>
      <c r="D16" s="32">
        <v>-0.301882332347509</v>
      </c>
      <c r="E16" s="32">
        <v>-0.99212837425927602</v>
      </c>
      <c r="F16" s="32">
        <v>-0.30073376257800899</v>
      </c>
      <c r="G16" s="32">
        <v>0.38180019117372699</v>
      </c>
      <c r="H16" s="32">
        <v>-0.30073699690474898</v>
      </c>
      <c r="I16" s="32">
        <v>0.35023691033666199</v>
      </c>
      <c r="J16" s="32">
        <v>332.03528865229498</v>
      </c>
      <c r="K16" s="55" t="s">
        <v>54</v>
      </c>
      <c r="L16" s="55" t="s">
        <v>146</v>
      </c>
      <c r="M16" s="55"/>
      <c r="N16" s="55"/>
      <c r="O16" s="55"/>
      <c r="P16" s="55"/>
      <c r="Q16" s="55"/>
      <c r="R16" s="55"/>
      <c r="S16" s="55"/>
      <c r="T16" s="55"/>
      <c r="U16" s="55"/>
      <c r="V16" s="55"/>
      <c r="W16" s="55"/>
      <c r="X16" s="55"/>
      <c r="Y16" s="55"/>
      <c r="Z16" s="55"/>
      <c r="AA16" s="55"/>
      <c r="AB16" s="55"/>
    </row>
    <row r="17" spans="1:28" x14ac:dyDescent="0.15">
      <c r="A17" s="32" t="s">
        <v>21</v>
      </c>
      <c r="B17" s="32" t="s">
        <v>22</v>
      </c>
      <c r="C17" s="32" t="s">
        <v>15</v>
      </c>
      <c r="D17" s="32">
        <v>-0.127247346272646</v>
      </c>
      <c r="E17" s="32">
        <v>-0.72804594708949699</v>
      </c>
      <c r="F17" s="32">
        <v>-0.12681185154552099</v>
      </c>
      <c r="G17" s="32">
        <v>0.47102904124101802</v>
      </c>
      <c r="H17" s="32">
        <v>-0.12682296726443901</v>
      </c>
      <c r="I17" s="32">
        <v>0.30566512314380001</v>
      </c>
      <c r="J17" s="32">
        <v>332.03528865229498</v>
      </c>
      <c r="K17" s="55" t="s">
        <v>55</v>
      </c>
      <c r="L17" s="55" t="s">
        <v>146</v>
      </c>
      <c r="M17" s="55"/>
      <c r="N17" s="55"/>
      <c r="O17" s="55"/>
      <c r="P17" s="55"/>
      <c r="Q17" s="55"/>
      <c r="R17" s="55"/>
      <c r="S17" s="55"/>
      <c r="T17" s="55"/>
      <c r="U17" s="55"/>
      <c r="V17" s="55"/>
      <c r="W17" s="55"/>
      <c r="X17" s="55"/>
      <c r="Y17" s="55"/>
      <c r="Z17" s="55"/>
      <c r="AA17" s="55"/>
      <c r="AB17" s="55"/>
    </row>
    <row r="18" spans="1:28" x14ac:dyDescent="0.15">
      <c r="A18" s="32" t="s">
        <v>21</v>
      </c>
      <c r="B18" s="32" t="s">
        <v>22</v>
      </c>
      <c r="C18" s="32" t="s">
        <v>19</v>
      </c>
      <c r="D18" s="32">
        <v>3401.48285978883</v>
      </c>
      <c r="E18" s="32">
        <v>1214.0303824964101</v>
      </c>
      <c r="F18" s="32">
        <v>2980.8160058507601</v>
      </c>
      <c r="G18" s="32">
        <v>8103.4796244313702</v>
      </c>
      <c r="H18" s="32">
        <v>2318.7610894458999</v>
      </c>
      <c r="I18" s="32">
        <v>1811.4858735862899</v>
      </c>
      <c r="J18" s="32">
        <v>332.03528865229498</v>
      </c>
      <c r="K18" s="55"/>
      <c r="L18" s="55"/>
      <c r="M18" s="55"/>
      <c r="N18" s="55"/>
      <c r="O18" s="55"/>
      <c r="P18" s="55"/>
      <c r="Q18" s="55"/>
      <c r="R18" s="55"/>
      <c r="S18" s="55"/>
      <c r="T18" s="55"/>
      <c r="U18" s="55"/>
      <c r="V18" s="55"/>
      <c r="W18" s="55"/>
      <c r="X18" s="55"/>
      <c r="Y18" s="55"/>
      <c r="Z18" s="55"/>
      <c r="AA18" s="55"/>
      <c r="AB18" s="55"/>
    </row>
    <row r="19" spans="1:28" x14ac:dyDescent="0.15">
      <c r="A19" s="32" t="s">
        <v>21</v>
      </c>
      <c r="B19" s="32" t="s">
        <v>22</v>
      </c>
      <c r="C19" s="32" t="s">
        <v>20</v>
      </c>
      <c r="D19" s="32">
        <v>1.09541966824996</v>
      </c>
      <c r="E19" s="32">
        <v>0.63833778584962597</v>
      </c>
      <c r="F19" s="32">
        <v>1.06342898975919</v>
      </c>
      <c r="G19" s="32">
        <v>1.7367082638356099</v>
      </c>
      <c r="H19" s="32">
        <v>1.0045606401935601</v>
      </c>
      <c r="I19" s="32">
        <v>0.28096555437461501</v>
      </c>
      <c r="J19" s="32">
        <v>332.03528865229498</v>
      </c>
      <c r="K19" s="55"/>
      <c r="L19" s="55"/>
      <c r="M19" s="55"/>
      <c r="N19" s="55"/>
      <c r="O19" s="55"/>
      <c r="P19" s="55"/>
      <c r="Q19" s="55"/>
      <c r="R19" s="55"/>
      <c r="S19" s="55"/>
      <c r="T19" s="55"/>
      <c r="U19" s="55"/>
      <c r="V19" s="55"/>
      <c r="W19" s="55"/>
      <c r="X19" s="55"/>
      <c r="Y19" s="55"/>
      <c r="Z19" s="55"/>
      <c r="AA19" s="55"/>
      <c r="AB19" s="55"/>
    </row>
    <row r="20" spans="1:28" x14ac:dyDescent="0.15">
      <c r="A20" s="148" t="s">
        <v>23</v>
      </c>
      <c r="B20" s="148" t="s">
        <v>24</v>
      </c>
      <c r="C20" s="148" t="s">
        <v>14</v>
      </c>
      <c r="D20" s="148">
        <v>0.50236620049138303</v>
      </c>
      <c r="E20" s="148">
        <v>-1.23545002347897</v>
      </c>
      <c r="F20" s="148">
        <v>0.50236620049138303</v>
      </c>
      <c r="G20" s="148">
        <v>2.2401824244617399</v>
      </c>
      <c r="H20" s="148">
        <v>0.50236620049138303</v>
      </c>
      <c r="I20" s="148">
        <v>0.88665722313166495</v>
      </c>
      <c r="J20" s="148">
        <v>60.086264782178098</v>
      </c>
    </row>
    <row r="21" spans="1:28" s="70" customFormat="1" x14ac:dyDescent="0.15">
      <c r="A21" s="148" t="s">
        <v>23</v>
      </c>
      <c r="B21" s="148" t="s">
        <v>24</v>
      </c>
      <c r="C21" s="148" t="s">
        <v>15</v>
      </c>
      <c r="D21" s="148">
        <v>-2.6370699832858202</v>
      </c>
      <c r="E21" s="148">
        <v>-4.7954199782484297</v>
      </c>
      <c r="F21" s="148">
        <v>-2.6370699832858202</v>
      </c>
      <c r="G21" s="148">
        <v>-0.478719988323207</v>
      </c>
      <c r="H21" s="148">
        <v>-2.6370699832858202</v>
      </c>
      <c r="I21" s="148">
        <v>1.1012192121831801</v>
      </c>
      <c r="J21" s="148">
        <v>60.086264782178098</v>
      </c>
      <c r="K21" s="70" t="s">
        <v>56</v>
      </c>
    </row>
    <row r="22" spans="1:28" x14ac:dyDescent="0.15">
      <c r="A22" s="32" t="s">
        <v>25</v>
      </c>
      <c r="B22" s="32" t="s">
        <v>26</v>
      </c>
      <c r="C22" s="32" t="s">
        <v>25</v>
      </c>
      <c r="D22" s="32">
        <v>-0.86786086069242596</v>
      </c>
      <c r="E22" s="32">
        <v>-2.1473780117516799</v>
      </c>
      <c r="F22" s="32">
        <v>-0.91901783985845098</v>
      </c>
      <c r="G22" s="32">
        <v>0.114731061079621</v>
      </c>
      <c r="H22" s="32">
        <v>-0.12415225601341701</v>
      </c>
      <c r="I22" s="32">
        <v>0.65433038797185605</v>
      </c>
      <c r="J22" s="32">
        <v>223.45066353674699</v>
      </c>
      <c r="L22" s="32">
        <f>F9+F11</f>
        <v>0.19173954047371988</v>
      </c>
      <c r="M22" s="32">
        <f>EXP(L22)</f>
        <v>1.2113549669318342</v>
      </c>
    </row>
    <row r="23" spans="1:28" x14ac:dyDescent="0.15">
      <c r="A23" s="32" t="s">
        <v>25</v>
      </c>
      <c r="B23" s="32" t="s">
        <v>26</v>
      </c>
      <c r="C23" s="32" t="s">
        <v>27</v>
      </c>
      <c r="D23" s="32">
        <v>0.72109211518281702</v>
      </c>
      <c r="E23" s="32">
        <v>0.38598580803989002</v>
      </c>
      <c r="F23" s="32">
        <v>0.74255545199539696</v>
      </c>
      <c r="G23" s="32">
        <v>0.953530701145195</v>
      </c>
      <c r="H23" s="32">
        <v>0.82432340843187701</v>
      </c>
      <c r="I23" s="32">
        <v>0.15334588922519199</v>
      </c>
      <c r="J23" s="32">
        <v>223.45066353674699</v>
      </c>
      <c r="K23" s="32" t="s">
        <v>205</v>
      </c>
      <c r="L23" s="32">
        <f>F11+F10</f>
        <v>1.1590741750140199</v>
      </c>
      <c r="M23" s="32">
        <f>EXP(L23)</f>
        <v>3.1869813228924291</v>
      </c>
    </row>
    <row r="24" spans="1:28" x14ac:dyDescent="0.15">
      <c r="A24" s="32" t="s">
        <v>25</v>
      </c>
      <c r="B24" s="32" t="s">
        <v>26</v>
      </c>
      <c r="C24" s="32" t="s">
        <v>19</v>
      </c>
      <c r="D24" s="32">
        <v>337.804509291508</v>
      </c>
      <c r="E24" s="32">
        <v>130.408842155023</v>
      </c>
      <c r="F24" s="32">
        <v>310.21025140577501</v>
      </c>
      <c r="G24" s="32">
        <v>705.29176501820803</v>
      </c>
      <c r="H24" s="32">
        <v>260.50185755793598</v>
      </c>
      <c r="I24" s="32">
        <v>149.16639783956899</v>
      </c>
      <c r="J24" s="32">
        <v>223.45066353674699</v>
      </c>
      <c r="K24" s="32" t="s">
        <v>206</v>
      </c>
      <c r="L24" s="32">
        <f>F9</f>
        <v>-1.4420701824006801</v>
      </c>
    </row>
    <row r="25" spans="1:28" x14ac:dyDescent="0.15">
      <c r="A25" s="32" t="s">
        <v>25</v>
      </c>
      <c r="B25" s="32" t="s">
        <v>26</v>
      </c>
      <c r="C25" s="32" t="s">
        <v>20</v>
      </c>
      <c r="D25" s="32">
        <v>3.1465657651735799</v>
      </c>
      <c r="E25" s="32">
        <v>1.5247157467529999</v>
      </c>
      <c r="F25" s="32">
        <v>3.0094423318816999</v>
      </c>
      <c r="G25" s="32">
        <v>5.5489271447644697</v>
      </c>
      <c r="H25" s="32">
        <v>2.7603847095582301</v>
      </c>
      <c r="I25" s="32">
        <v>1.0342021118685201</v>
      </c>
      <c r="J25" s="32">
        <v>223.45066353674699</v>
      </c>
      <c r="K25" s="32" t="s">
        <v>207</v>
      </c>
      <c r="L25" s="32">
        <f>F10</f>
        <v>-0.47473554786038002</v>
      </c>
    </row>
    <row r="26" spans="1:28" s="71" customFormat="1" x14ac:dyDescent="0.15">
      <c r="A26" s="71" t="s">
        <v>28</v>
      </c>
      <c r="B26" s="71" t="s">
        <v>29</v>
      </c>
      <c r="C26" s="71" t="s">
        <v>30</v>
      </c>
      <c r="D26" s="71">
        <v>-0.35895579086729001</v>
      </c>
      <c r="E26" s="71">
        <v>-0.67912225653007796</v>
      </c>
      <c r="F26" s="71">
        <v>-0.358277337092963</v>
      </c>
      <c r="G26" s="71">
        <v>-4.2682055166595498E-2</v>
      </c>
      <c r="H26" s="71">
        <v>-0.358283713342121</v>
      </c>
      <c r="I26" s="71">
        <v>0.16223101679291199</v>
      </c>
      <c r="J26" s="71">
        <v>339.01173945267999</v>
      </c>
      <c r="K26" s="71" t="s">
        <v>57</v>
      </c>
    </row>
    <row r="27" spans="1:28" x14ac:dyDescent="0.15">
      <c r="A27" s="32" t="s">
        <v>28</v>
      </c>
      <c r="B27" s="32" t="s">
        <v>29</v>
      </c>
      <c r="C27" s="32" t="s">
        <v>28</v>
      </c>
      <c r="D27" s="32">
        <v>0.92311742130971297</v>
      </c>
      <c r="E27" s="32">
        <v>0.88902449111804804</v>
      </c>
      <c r="F27" s="32">
        <v>0.92419922916456299</v>
      </c>
      <c r="G27" s="32">
        <v>0.95096219448816299</v>
      </c>
      <c r="H27" s="32">
        <v>0.92636900667533895</v>
      </c>
      <c r="I27" s="32">
        <v>1.58594995890265E-2</v>
      </c>
      <c r="J27" s="32">
        <v>339.01173945267999</v>
      </c>
    </row>
    <row r="28" spans="1:28" s="72" customFormat="1" x14ac:dyDescent="0.15">
      <c r="A28" s="72" t="s">
        <v>31</v>
      </c>
      <c r="B28" s="72" t="s">
        <v>32</v>
      </c>
      <c r="C28" s="72" t="s">
        <v>33</v>
      </c>
      <c r="D28" s="72">
        <v>-0.95992959679204304</v>
      </c>
      <c r="E28" s="72">
        <v>-1.6038555668485199</v>
      </c>
      <c r="F28" s="72">
        <v>-0.95934027661659305</v>
      </c>
      <c r="G28" s="72">
        <v>-0.31938009373101001</v>
      </c>
      <c r="H28" s="72">
        <v>-0.95934413044534295</v>
      </c>
      <c r="I28" s="72">
        <v>0.32746991604070103</v>
      </c>
      <c r="J28" s="72">
        <v>312.70098542403099</v>
      </c>
      <c r="K28" s="72" t="s">
        <v>57</v>
      </c>
    </row>
    <row r="29" spans="1:28" x14ac:dyDescent="0.15">
      <c r="A29" s="32" t="s">
        <v>31</v>
      </c>
      <c r="B29" s="32" t="s">
        <v>32</v>
      </c>
      <c r="C29" s="32" t="s">
        <v>31</v>
      </c>
      <c r="D29" s="32">
        <v>0.92504518696885796</v>
      </c>
      <c r="E29" s="32">
        <v>0.89251110131845401</v>
      </c>
      <c r="F29" s="32">
        <v>0.92601994785920505</v>
      </c>
      <c r="G29" s="32">
        <v>0.95193440539293706</v>
      </c>
      <c r="H29" s="32">
        <v>0.92799597778273901</v>
      </c>
      <c r="I29" s="32">
        <v>1.5216234938429401E-2</v>
      </c>
      <c r="J29" s="32">
        <v>312.70098542403099</v>
      </c>
    </row>
    <row r="30" spans="1:28" s="73" customFormat="1" x14ac:dyDescent="0.15">
      <c r="A30" s="73" t="s">
        <v>34</v>
      </c>
      <c r="B30" s="73" t="s">
        <v>35</v>
      </c>
      <c r="C30" s="73" t="s">
        <v>36</v>
      </c>
      <c r="D30" s="73">
        <v>-0.783324707577987</v>
      </c>
      <c r="E30" s="73">
        <v>-1.4309483251716599</v>
      </c>
      <c r="F30" s="73">
        <v>-0.78329386624606201</v>
      </c>
      <c r="G30" s="73">
        <v>-0.135876769671961</v>
      </c>
      <c r="H30" s="73">
        <v>-0.78329373563740201</v>
      </c>
      <c r="I30" s="73">
        <v>0.33022179931604401</v>
      </c>
      <c r="J30" s="73">
        <v>313.098889673249</v>
      </c>
      <c r="K30" s="73" t="s">
        <v>57</v>
      </c>
    </row>
    <row r="31" spans="1:28" x14ac:dyDescent="0.15">
      <c r="A31" s="32" t="s">
        <v>34</v>
      </c>
      <c r="B31" s="32" t="s">
        <v>35</v>
      </c>
      <c r="C31" s="32" t="s">
        <v>34</v>
      </c>
      <c r="D31" s="32">
        <v>0.92627779754432704</v>
      </c>
      <c r="E31" s="32">
        <v>0.89457949408692405</v>
      </c>
      <c r="F31" s="32">
        <v>0.92720489168239495</v>
      </c>
      <c r="G31" s="32">
        <v>0.952601213781476</v>
      </c>
      <c r="H31" s="32">
        <v>0.92908968250784096</v>
      </c>
      <c r="I31" s="32">
        <v>1.48571132508717E-2</v>
      </c>
      <c r="J31" s="32">
        <v>313.098889673249</v>
      </c>
    </row>
    <row r="32" spans="1:28" x14ac:dyDescent="0.15">
      <c r="A32" s="32" t="s">
        <v>37</v>
      </c>
      <c r="B32" s="32" t="s">
        <v>187</v>
      </c>
      <c r="C32" s="32" t="s">
        <v>38</v>
      </c>
      <c r="D32" s="32">
        <v>0.151198292477632</v>
      </c>
      <c r="E32" s="32">
        <v>6.6448484346715395E-2</v>
      </c>
      <c r="F32" s="32">
        <v>0.151198292477632</v>
      </c>
      <c r="G32" s="32">
        <v>0.23594810060854801</v>
      </c>
      <c r="H32" s="32">
        <v>0.151198292477632</v>
      </c>
      <c r="I32" s="32">
        <v>4.3240492580176003E-2</v>
      </c>
      <c r="J32" s="32">
        <v>271.174076321347</v>
      </c>
      <c r="K32" s="74"/>
      <c r="L32" s="74"/>
      <c r="M32" s="74"/>
      <c r="N32" s="74"/>
      <c r="O32" s="74"/>
      <c r="P32" s="74"/>
      <c r="Q32" s="74"/>
      <c r="R32" s="74"/>
      <c r="S32" s="74"/>
      <c r="T32" s="74"/>
      <c r="U32" s="74"/>
      <c r="V32" s="74"/>
      <c r="W32" s="74"/>
      <c r="X32" s="74"/>
      <c r="Y32" s="74"/>
      <c r="Z32" s="74"/>
      <c r="AA32" s="74"/>
      <c r="AB32" s="74"/>
    </row>
    <row r="33" spans="1:28" x14ac:dyDescent="0.15">
      <c r="A33" s="32" t="s">
        <v>37</v>
      </c>
      <c r="B33" s="32" t="s">
        <v>187</v>
      </c>
      <c r="C33" s="32" t="s">
        <v>39</v>
      </c>
      <c r="D33" s="32">
        <v>1.72165579294337</v>
      </c>
      <c r="E33" s="32">
        <v>0.88537080587396799</v>
      </c>
      <c r="F33" s="32">
        <v>1.72165579294337</v>
      </c>
      <c r="G33" s="32">
        <v>2.5579407800127698</v>
      </c>
      <c r="H33" s="32">
        <v>1.72165579294337</v>
      </c>
      <c r="I33" s="32">
        <v>0.42668385422687</v>
      </c>
      <c r="J33" s="32">
        <v>271.174076321347</v>
      </c>
      <c r="K33" s="74"/>
      <c r="L33" s="74"/>
      <c r="M33" s="75" t="s">
        <v>53</v>
      </c>
      <c r="N33" s="74">
        <f>(J39-J40)/J39</f>
        <v>3.2076964494290927E-2</v>
      </c>
      <c r="O33" s="74"/>
      <c r="P33" s="74"/>
      <c r="Q33" s="74"/>
      <c r="R33" s="74"/>
      <c r="S33" s="74"/>
      <c r="T33" s="74"/>
      <c r="U33" s="74"/>
      <c r="V33" s="74"/>
      <c r="W33" s="74"/>
      <c r="X33" s="74"/>
      <c r="Y33" s="74"/>
      <c r="Z33" s="74"/>
      <c r="AA33" s="74"/>
      <c r="AB33" s="74"/>
    </row>
    <row r="34" spans="1:28" x14ac:dyDescent="0.15">
      <c r="A34" s="32" t="s">
        <v>37</v>
      </c>
      <c r="B34" s="32" t="s">
        <v>187</v>
      </c>
      <c r="C34" s="32" t="s">
        <v>12</v>
      </c>
      <c r="D34" s="32">
        <v>0.17005409889298101</v>
      </c>
      <c r="E34" s="32">
        <v>-0.228028407693462</v>
      </c>
      <c r="F34" s="32">
        <v>0.17005409889298101</v>
      </c>
      <c r="G34" s="32">
        <v>0.56813660547942402</v>
      </c>
      <c r="H34" s="32">
        <v>0.17005409889298101</v>
      </c>
      <c r="I34" s="32">
        <v>0.203107051826701</v>
      </c>
      <c r="J34" s="32">
        <v>271.174076321347</v>
      </c>
      <c r="K34" s="74"/>
      <c r="L34" s="74"/>
      <c r="M34" s="74"/>
      <c r="N34" s="74"/>
      <c r="O34" s="74"/>
      <c r="P34" s="74"/>
      <c r="Q34" s="74"/>
      <c r="R34" s="74"/>
      <c r="S34" s="74"/>
      <c r="T34" s="74"/>
      <c r="U34" s="74"/>
      <c r="V34" s="74"/>
      <c r="W34" s="74"/>
      <c r="X34" s="74"/>
      <c r="Y34" s="74"/>
      <c r="Z34" s="74"/>
      <c r="AA34" s="74"/>
      <c r="AB34" s="74"/>
    </row>
    <row r="35" spans="1:28" x14ac:dyDescent="0.15">
      <c r="A35" s="32" t="s">
        <v>37</v>
      </c>
      <c r="B35" s="32" t="s">
        <v>187</v>
      </c>
      <c r="C35" s="32" t="s">
        <v>13</v>
      </c>
      <c r="D35" s="32">
        <v>-0.62094667433128703</v>
      </c>
      <c r="E35" s="32">
        <v>-1.1626898728563599</v>
      </c>
      <c r="F35" s="32">
        <v>-0.62094667433128703</v>
      </c>
      <c r="G35" s="32">
        <v>-7.9203475806215298E-2</v>
      </c>
      <c r="H35" s="32">
        <v>-0.62094667433128703</v>
      </c>
      <c r="I35" s="32">
        <v>0.276404670084896</v>
      </c>
      <c r="J35" s="32">
        <v>271.174076321347</v>
      </c>
      <c r="K35" s="74"/>
      <c r="L35" s="74"/>
      <c r="M35" s="74"/>
      <c r="N35" s="74"/>
      <c r="O35" s="74"/>
      <c r="P35" s="74"/>
      <c r="Q35" s="74"/>
      <c r="R35" s="74"/>
      <c r="S35" s="74"/>
      <c r="T35" s="74"/>
      <c r="U35" s="74"/>
      <c r="V35" s="74"/>
      <c r="W35" s="74"/>
      <c r="X35" s="74"/>
      <c r="Y35" s="74"/>
      <c r="Z35" s="74"/>
      <c r="AA35" s="74"/>
      <c r="AB35" s="74"/>
    </row>
    <row r="36" spans="1:28" x14ac:dyDescent="0.15">
      <c r="A36" s="32" t="s">
        <v>37</v>
      </c>
      <c r="B36" s="32" t="s">
        <v>187</v>
      </c>
      <c r="C36" s="32" t="s">
        <v>40</v>
      </c>
      <c r="D36" s="32">
        <v>0.440424931951924</v>
      </c>
      <c r="E36" s="32">
        <v>0.19163732610989101</v>
      </c>
      <c r="F36" s="32">
        <v>0.440424931951924</v>
      </c>
      <c r="G36" s="32">
        <v>0.68921253779395697</v>
      </c>
      <c r="H36" s="32">
        <v>0.440424931951924</v>
      </c>
      <c r="I36" s="32">
        <v>0.126934784416672</v>
      </c>
      <c r="J36" s="32">
        <v>271.174076321347</v>
      </c>
      <c r="K36" s="74"/>
      <c r="L36" s="74"/>
      <c r="M36" s="74"/>
      <c r="N36" s="74"/>
      <c r="O36" s="74"/>
      <c r="P36" s="74"/>
      <c r="Q36" s="74"/>
      <c r="R36" s="74"/>
      <c r="S36" s="74"/>
      <c r="T36" s="74"/>
      <c r="U36" s="74"/>
      <c r="V36" s="74"/>
      <c r="W36" s="74"/>
      <c r="X36" s="74"/>
      <c r="Y36" s="74"/>
      <c r="Z36" s="74"/>
      <c r="AA36" s="74"/>
      <c r="AB36" s="74"/>
    </row>
    <row r="37" spans="1:28" x14ac:dyDescent="0.15">
      <c r="A37" s="32" t="s">
        <v>37</v>
      </c>
      <c r="B37" s="32" t="s">
        <v>187</v>
      </c>
      <c r="C37" s="32" t="s">
        <v>14</v>
      </c>
      <c r="D37" s="32">
        <v>-1.65607240959381</v>
      </c>
      <c r="E37" s="32">
        <v>-2.9859966622431902</v>
      </c>
      <c r="F37" s="32">
        <v>-1.65607240959381</v>
      </c>
      <c r="G37" s="32">
        <v>-0.32614815694442201</v>
      </c>
      <c r="H37" s="32">
        <v>-1.65607240959381</v>
      </c>
      <c r="I37" s="32">
        <v>0.67854525039217894</v>
      </c>
      <c r="J37" s="32">
        <v>271.174076321347</v>
      </c>
      <c r="K37" s="74"/>
      <c r="L37" s="74"/>
      <c r="M37" s="74"/>
      <c r="N37" s="74"/>
      <c r="O37" s="74"/>
      <c r="P37" s="74"/>
      <c r="Q37" s="74"/>
      <c r="R37" s="74"/>
      <c r="S37" s="74"/>
      <c r="T37" s="74"/>
      <c r="U37" s="74"/>
      <c r="V37" s="74"/>
      <c r="W37" s="74"/>
      <c r="X37" s="74"/>
      <c r="Y37" s="74"/>
      <c r="Z37" s="74"/>
      <c r="AA37" s="74"/>
      <c r="AB37" s="74"/>
    </row>
    <row r="38" spans="1:28" x14ac:dyDescent="0.15">
      <c r="A38" s="32" t="s">
        <v>37</v>
      </c>
      <c r="B38" s="32" t="s">
        <v>187</v>
      </c>
      <c r="C38" s="32" t="s">
        <v>30</v>
      </c>
      <c r="D38" s="32">
        <v>-0.17404702956652901</v>
      </c>
      <c r="E38" s="32">
        <v>-0.65525287468377802</v>
      </c>
      <c r="F38" s="32">
        <v>-0.17404702956652901</v>
      </c>
      <c r="G38" s="32">
        <v>0.30715881555072</v>
      </c>
      <c r="H38" s="32">
        <v>-0.17404702956652901</v>
      </c>
      <c r="I38" s="32">
        <v>0.24551769772962101</v>
      </c>
      <c r="J38" s="32">
        <v>271.174076321347</v>
      </c>
      <c r="K38" s="74"/>
      <c r="L38" s="74"/>
      <c r="M38" s="74"/>
      <c r="N38" s="74"/>
      <c r="O38" s="74"/>
      <c r="P38" s="74"/>
      <c r="Q38" s="74"/>
      <c r="R38" s="74"/>
      <c r="S38" s="74"/>
      <c r="T38" s="74"/>
      <c r="U38" s="74"/>
      <c r="V38" s="74"/>
      <c r="W38" s="74"/>
      <c r="X38" s="74"/>
      <c r="Y38" s="74"/>
      <c r="Z38" s="74"/>
      <c r="AA38" s="74"/>
      <c r="AB38" s="74"/>
    </row>
    <row r="39" spans="1:28" x14ac:dyDescent="0.15">
      <c r="A39" s="32" t="s">
        <v>37</v>
      </c>
      <c r="B39" s="32" t="s">
        <v>187</v>
      </c>
      <c r="C39" s="32" t="s">
        <v>41</v>
      </c>
      <c r="D39" s="32">
        <v>1.05986821017622</v>
      </c>
      <c r="E39" s="32">
        <v>0.39996624661980701</v>
      </c>
      <c r="F39" s="32">
        <v>1.05986821017622</v>
      </c>
      <c r="G39" s="32">
        <v>1.7197701737326201</v>
      </c>
      <c r="H39" s="32">
        <v>1.05986821017622</v>
      </c>
      <c r="I39" s="32">
        <v>0.336690862057482</v>
      </c>
      <c r="J39" s="32">
        <v>271.174076321347</v>
      </c>
      <c r="K39" s="74"/>
      <c r="L39" s="74"/>
      <c r="M39" s="75" t="s">
        <v>138</v>
      </c>
      <c r="N39" s="74"/>
      <c r="O39" s="74"/>
      <c r="P39" s="74"/>
      <c r="Q39" s="74"/>
      <c r="R39" s="74"/>
      <c r="S39" s="75" t="s">
        <v>145</v>
      </c>
      <c r="T39" s="74"/>
      <c r="U39" s="74"/>
      <c r="V39" s="74"/>
      <c r="W39" s="76"/>
      <c r="X39" s="74"/>
      <c r="Y39" s="75" t="s">
        <v>183</v>
      </c>
      <c r="Z39" s="74"/>
      <c r="AA39" s="74"/>
      <c r="AB39" s="74" t="s">
        <v>146</v>
      </c>
    </row>
    <row r="40" spans="1:28" x14ac:dyDescent="0.15">
      <c r="A40" s="74" t="s">
        <v>42</v>
      </c>
      <c r="B40" s="74" t="s">
        <v>188</v>
      </c>
      <c r="C40" s="74" t="s">
        <v>38</v>
      </c>
      <c r="D40" s="74">
        <v>0.174193103965461</v>
      </c>
      <c r="E40" s="74">
        <v>8.0298588978184204E-2</v>
      </c>
      <c r="F40" s="74">
        <v>0.17317762783073801</v>
      </c>
      <c r="G40" s="74">
        <v>0.27394774152562601</v>
      </c>
      <c r="H40" s="74">
        <v>0.17319953773768501</v>
      </c>
      <c r="I40" s="74">
        <v>4.9283338420550798E-2</v>
      </c>
      <c r="J40" s="74">
        <v>262.47563510341502</v>
      </c>
      <c r="K40" s="74"/>
      <c r="L40" s="74"/>
      <c r="M40" s="77"/>
      <c r="N40" s="77" t="s">
        <v>5</v>
      </c>
      <c r="O40" s="78">
        <v>2.5000000000000001E-2</v>
      </c>
      <c r="P40" s="78">
        <v>0.97499999999999998</v>
      </c>
      <c r="Q40" s="79" t="s">
        <v>132</v>
      </c>
      <c r="R40" s="74"/>
      <c r="S40" s="80"/>
      <c r="T40" s="77" t="s">
        <v>5</v>
      </c>
      <c r="U40" s="78">
        <v>2.5000000000000001E-2</v>
      </c>
      <c r="V40" s="78">
        <v>0.97499999999999998</v>
      </c>
      <c r="W40" s="79" t="s">
        <v>132</v>
      </c>
      <c r="X40" s="74"/>
      <c r="Y40" s="81"/>
      <c r="Z40" s="82" t="s">
        <v>136</v>
      </c>
      <c r="AA40" s="82" t="s">
        <v>135</v>
      </c>
      <c r="AB40" s="74"/>
    </row>
    <row r="41" spans="1:28" x14ac:dyDescent="0.15">
      <c r="A41" s="74" t="s">
        <v>42</v>
      </c>
      <c r="B41" s="74" t="s">
        <v>188</v>
      </c>
      <c r="C41" s="74" t="s">
        <v>39</v>
      </c>
      <c r="D41" s="74">
        <v>1.6949231918661201</v>
      </c>
      <c r="E41" s="74">
        <v>0.78464177145751202</v>
      </c>
      <c r="F41" s="74">
        <v>1.6943443843506301</v>
      </c>
      <c r="G41" s="74">
        <v>2.6089019483531302</v>
      </c>
      <c r="H41" s="74">
        <v>1.69449493150965</v>
      </c>
      <c r="I41" s="74">
        <v>0.46444210041316902</v>
      </c>
      <c r="J41" s="74">
        <v>262.47563510341502</v>
      </c>
      <c r="K41" s="74"/>
      <c r="L41" s="74"/>
      <c r="M41" s="81" t="s">
        <v>149</v>
      </c>
      <c r="N41" s="81" t="s">
        <v>139</v>
      </c>
      <c r="O41" s="81"/>
      <c r="P41" s="81"/>
      <c r="Q41" s="76"/>
      <c r="R41" s="74"/>
      <c r="S41" s="81" t="s">
        <v>149</v>
      </c>
      <c r="T41" s="74" t="s">
        <v>139</v>
      </c>
      <c r="U41" s="74"/>
      <c r="V41" s="74"/>
      <c r="W41" s="74">
        <v>1</v>
      </c>
      <c r="X41" s="74"/>
      <c r="Y41" s="83"/>
      <c r="Z41" s="84" t="s">
        <v>132</v>
      </c>
      <c r="AA41" s="84" t="s">
        <v>132</v>
      </c>
      <c r="AB41" s="74"/>
    </row>
    <row r="42" spans="1:28" x14ac:dyDescent="0.15">
      <c r="A42" s="74" t="s">
        <v>42</v>
      </c>
      <c r="B42" s="74" t="s">
        <v>188</v>
      </c>
      <c r="C42" s="74" t="s">
        <v>12</v>
      </c>
      <c r="D42" s="74">
        <v>0.15861223714241801</v>
      </c>
      <c r="E42" s="74">
        <v>-0.29133168260562498</v>
      </c>
      <c r="F42" s="74">
        <v>0.158109110098336</v>
      </c>
      <c r="G42" s="74">
        <v>0.61171322552005003</v>
      </c>
      <c r="H42" s="74">
        <v>0.15820469426173001</v>
      </c>
      <c r="I42" s="74">
        <v>0.22959669229833601</v>
      </c>
      <c r="J42" s="74">
        <v>262.47563510341502</v>
      </c>
      <c r="K42" s="74"/>
      <c r="L42" s="74"/>
      <c r="M42" s="74" t="s">
        <v>147</v>
      </c>
      <c r="N42" s="74">
        <f>F46</f>
        <v>-0.174866208841196</v>
      </c>
      <c r="O42" s="74">
        <f>E46</f>
        <v>-0.69732606543619502</v>
      </c>
      <c r="P42" s="74">
        <f>G46</f>
        <v>0.34115986756252697</v>
      </c>
      <c r="Q42" s="76" t="str">
        <f>CONCATENATE(TEXT(ROUND(N42, 2), "0.00"), " (", TEXT(ROUND(O42, 2), "0.00"), ",", TEXT(ROUND(P42, 2), "0.00"), ")")</f>
        <v>-0.17 (-0.70,0.34)</v>
      </c>
      <c r="R42" s="74"/>
      <c r="S42" s="74" t="s">
        <v>147</v>
      </c>
      <c r="T42" s="74">
        <f t="shared" ref="T42:V43" si="4">EXP(N42)</f>
        <v>0.83956934021028873</v>
      </c>
      <c r="U42" s="74">
        <f t="shared" si="4"/>
        <v>0.49791491725657572</v>
      </c>
      <c r="V42" s="74">
        <f t="shared" si="4"/>
        <v>1.4065780890993287</v>
      </c>
      <c r="W42" s="85" t="str">
        <f>CONCATENATE(TEXT(ROUND(T42, 2), "0.00"), " (", TEXT(ROUND(U42, 2), "0.00"), ",", TEXT(ROUND(V42, 2), "0.00"), ")")</f>
        <v>0.84 (0.50,1.41)</v>
      </c>
      <c r="X42" s="74"/>
      <c r="Y42" s="74" t="s">
        <v>151</v>
      </c>
      <c r="Z42" s="76">
        <v>1</v>
      </c>
      <c r="AA42" s="76" t="str">
        <f>W43</f>
        <v>0.18 (0.04,0.71)</v>
      </c>
      <c r="AB42" s="74"/>
    </row>
    <row r="43" spans="1:28" x14ac:dyDescent="0.15">
      <c r="A43" s="74" t="s">
        <v>42</v>
      </c>
      <c r="B43" s="74" t="s">
        <v>188</v>
      </c>
      <c r="C43" s="74" t="s">
        <v>13</v>
      </c>
      <c r="D43" s="74">
        <v>-0.62638079589590301</v>
      </c>
      <c r="E43" s="74">
        <v>-1.25996509686147</v>
      </c>
      <c r="F43" s="74">
        <v>-0.627324105990406</v>
      </c>
      <c r="G43" s="74">
        <v>1.3101841330726101E-2</v>
      </c>
      <c r="H43" s="74">
        <v>-0.62714897889914201</v>
      </c>
      <c r="I43" s="74">
        <v>0.323189279120697</v>
      </c>
      <c r="J43" s="74">
        <v>262.47563510341502</v>
      </c>
      <c r="K43" s="74"/>
      <c r="L43" s="74"/>
      <c r="M43" s="74" t="s">
        <v>150</v>
      </c>
      <c r="N43" s="74">
        <f>F45</f>
        <v>-1.7395703972860199</v>
      </c>
      <c r="O43" s="74">
        <f>E45</f>
        <v>-3.17232173776932</v>
      </c>
      <c r="P43" s="74">
        <f>G45</f>
        <v>-0.34241318328328801</v>
      </c>
      <c r="Q43" s="76" t="str">
        <f>CONCATENATE(TEXT(ROUND(N43, 2), "0.00"), " (", TEXT(ROUND(O43, 2), "0.00"), "-", TEXT(ROUND(P43, 2), "0.00"), ")")</f>
        <v>-1.74 (-3.17--0.34)</v>
      </c>
      <c r="R43" s="74"/>
      <c r="S43" s="74" t="s">
        <v>150</v>
      </c>
      <c r="T43" s="74">
        <f t="shared" si="4"/>
        <v>0.17559582085667066</v>
      </c>
      <c r="U43" s="74">
        <f t="shared" si="4"/>
        <v>4.1906189685671218E-2</v>
      </c>
      <c r="V43" s="74">
        <f t="shared" si="4"/>
        <v>0.71005476133280132</v>
      </c>
      <c r="W43" s="85" t="str">
        <f>CONCATENATE(TEXT(ROUND(T43, 2), "0.00"), " (", TEXT(ROUND(U43, 2), "0.00"), ",", TEXT(ROUND(V43, 2), "0.00"), ")")</f>
        <v>0.18 (0.04,0.71)</v>
      </c>
      <c r="X43" s="74"/>
      <c r="Y43" s="83" t="s">
        <v>30</v>
      </c>
      <c r="Z43" s="126" t="str">
        <f>W42</f>
        <v>0.84 (0.50,1.41)</v>
      </c>
      <c r="AA43" s="84" t="str">
        <f>W44</f>
        <v>0.43 (0.14,1.33)</v>
      </c>
      <c r="AB43" s="74"/>
    </row>
    <row r="44" spans="1:28" x14ac:dyDescent="0.15">
      <c r="A44" s="74" t="s">
        <v>42</v>
      </c>
      <c r="B44" s="74" t="s">
        <v>188</v>
      </c>
      <c r="C44" s="74" t="s">
        <v>40</v>
      </c>
      <c r="D44" s="74">
        <v>0.420099621293752</v>
      </c>
      <c r="E44" s="74">
        <v>0.19585814927741399</v>
      </c>
      <c r="F44" s="74">
        <v>0.41931045100458098</v>
      </c>
      <c r="G44" s="74">
        <v>0.64880237621534498</v>
      </c>
      <c r="H44" s="74">
        <v>0.419301992668626</v>
      </c>
      <c r="I44" s="74">
        <v>0.11532011202836299</v>
      </c>
      <c r="J44" s="74">
        <v>262.47563510341502</v>
      </c>
      <c r="K44" s="74"/>
      <c r="L44" s="74"/>
      <c r="M44" s="83" t="s">
        <v>148</v>
      </c>
      <c r="N44" s="83">
        <v>-0.85053089999999998</v>
      </c>
      <c r="O44" s="83">
        <v>-1.9735427000000001</v>
      </c>
      <c r="P44" s="83">
        <v>0.2865164</v>
      </c>
      <c r="Q44" s="84" t="str">
        <f>CONCATENATE(TEXT(ROUND(N44, 2), "0.00"), " (", TEXT(ROUND(O44, 2), "0.00"), "-", TEXT(ROUND(P44, 2), "0.00"), ")")</f>
        <v>-0.85 (-1.97-0.29)</v>
      </c>
      <c r="R44" s="74"/>
      <c r="S44" s="83" t="s">
        <v>148</v>
      </c>
      <c r="T44" s="83">
        <v>0.42718810000000002</v>
      </c>
      <c r="U44" s="83">
        <v>0.1389637</v>
      </c>
      <c r="V44" s="83">
        <v>1.3317806000000001</v>
      </c>
      <c r="W44" s="86" t="str">
        <f>CONCATENATE(TEXT(ROUND(T44, 2), "0.00"), " (", TEXT(ROUND(U44, 2), "0.00"), ",", TEXT(ROUND(V44, 2), "0.00"), ")")</f>
        <v>0.43 (0.14,1.33)</v>
      </c>
      <c r="X44" s="74"/>
      <c r="Y44" s="74"/>
      <c r="Z44" s="74"/>
      <c r="AA44" s="74"/>
      <c r="AB44" s="74"/>
    </row>
    <row r="45" spans="1:28" x14ac:dyDescent="0.15">
      <c r="A45" s="74" t="s">
        <v>42</v>
      </c>
      <c r="B45" s="74" t="s">
        <v>188</v>
      </c>
      <c r="C45" s="74" t="s">
        <v>14</v>
      </c>
      <c r="D45" s="74">
        <v>-1.7441118148381001</v>
      </c>
      <c r="E45" s="74">
        <v>-3.17232173776932</v>
      </c>
      <c r="F45" s="74">
        <v>-1.7395703972860199</v>
      </c>
      <c r="G45" s="74">
        <v>-0.34241318328328801</v>
      </c>
      <c r="H45" s="74">
        <v>-1.7397684822958299</v>
      </c>
      <c r="I45" s="74">
        <v>0.72087711522486497</v>
      </c>
      <c r="J45" s="74">
        <v>262.47563510341502</v>
      </c>
      <c r="K45" s="74"/>
      <c r="L45" s="74"/>
      <c r="M45" s="74" t="s">
        <v>144</v>
      </c>
      <c r="N45" s="74"/>
      <c r="O45" s="74"/>
      <c r="P45" s="74"/>
      <c r="Q45" s="76"/>
      <c r="R45" s="74" t="s">
        <v>146</v>
      </c>
      <c r="S45" s="74" t="s">
        <v>144</v>
      </c>
      <c r="T45" s="74"/>
      <c r="U45" s="74"/>
      <c r="V45" s="74"/>
      <c r="W45" s="74"/>
      <c r="X45" s="74" t="s">
        <v>146</v>
      </c>
      <c r="Y45" s="74"/>
      <c r="Z45" s="74"/>
      <c r="AA45" s="74"/>
      <c r="AB45" s="74"/>
    </row>
    <row r="46" spans="1:28" x14ac:dyDescent="0.15">
      <c r="A46" s="74" t="s">
        <v>42</v>
      </c>
      <c r="B46" s="74" t="s">
        <v>188</v>
      </c>
      <c r="C46" s="74" t="s">
        <v>30</v>
      </c>
      <c r="D46" s="74">
        <v>-0.17567930735722101</v>
      </c>
      <c r="E46" s="74">
        <v>-0.69732606543619502</v>
      </c>
      <c r="F46" s="74">
        <v>-0.174866208841196</v>
      </c>
      <c r="G46" s="74">
        <v>0.34115986756252697</v>
      </c>
      <c r="H46" s="74">
        <v>-0.174921407614896</v>
      </c>
      <c r="I46" s="74">
        <v>0.26445444424668602</v>
      </c>
      <c r="J46" s="74">
        <v>262.47563510341502</v>
      </c>
      <c r="K46" s="74"/>
      <c r="L46" s="74"/>
      <c r="M46" s="74"/>
      <c r="N46" s="74"/>
      <c r="O46" s="74"/>
      <c r="P46" s="74"/>
      <c r="Q46" s="74"/>
      <c r="R46" s="74"/>
      <c r="S46" s="74"/>
      <c r="T46" s="74"/>
      <c r="U46" s="74"/>
      <c r="V46" s="74"/>
      <c r="W46" s="74"/>
      <c r="X46" s="74"/>
      <c r="Y46" s="74"/>
      <c r="Z46" s="76"/>
      <c r="AA46" s="76"/>
      <c r="AB46" s="74"/>
    </row>
    <row r="47" spans="1:28" x14ac:dyDescent="0.15">
      <c r="A47" s="74" t="s">
        <v>42</v>
      </c>
      <c r="B47" s="74" t="s">
        <v>188</v>
      </c>
      <c r="C47" s="74" t="s">
        <v>41</v>
      </c>
      <c r="D47" s="74">
        <v>1.05864622756607</v>
      </c>
      <c r="E47" s="74">
        <v>0.35501780782284098</v>
      </c>
      <c r="F47" s="74">
        <v>1.05711038332686</v>
      </c>
      <c r="G47" s="74">
        <v>1.77133768626037</v>
      </c>
      <c r="H47" s="74">
        <v>1.0572069451299999</v>
      </c>
      <c r="I47" s="74">
        <v>0.36076743890079599</v>
      </c>
      <c r="J47" s="74">
        <v>262.47563510341502</v>
      </c>
      <c r="K47" s="74"/>
      <c r="L47" s="74"/>
      <c r="M47" s="75" t="s">
        <v>138</v>
      </c>
      <c r="N47" s="74"/>
      <c r="O47" s="74"/>
      <c r="P47" s="74"/>
      <c r="Q47" s="74"/>
      <c r="R47" s="74"/>
      <c r="S47" s="75" t="s">
        <v>145</v>
      </c>
      <c r="T47" s="74"/>
      <c r="U47" s="74"/>
      <c r="V47" s="74"/>
      <c r="W47" s="74"/>
      <c r="X47" s="74"/>
      <c r="Y47" s="75" t="s">
        <v>183</v>
      </c>
      <c r="Z47" s="74"/>
      <c r="AA47" s="74"/>
      <c r="AB47" s="74" t="s">
        <v>146</v>
      </c>
    </row>
    <row r="48" spans="1:28" x14ac:dyDescent="0.15">
      <c r="A48" s="74" t="s">
        <v>42</v>
      </c>
      <c r="B48" s="74" t="s">
        <v>188</v>
      </c>
      <c r="C48" s="74" t="s">
        <v>19</v>
      </c>
      <c r="D48" s="74">
        <v>307.79019578659597</v>
      </c>
      <c r="E48" s="74">
        <v>82.7267547330013</v>
      </c>
      <c r="F48" s="74">
        <v>254.743136226106</v>
      </c>
      <c r="G48" s="74">
        <v>851.650693552093</v>
      </c>
      <c r="H48" s="74">
        <v>178.362741198642</v>
      </c>
      <c r="I48" s="74">
        <v>206.065360922591</v>
      </c>
      <c r="J48" s="74">
        <v>262.47563510341502</v>
      </c>
      <c r="K48" s="74"/>
      <c r="L48" s="74"/>
      <c r="M48" s="80"/>
      <c r="N48" s="77" t="s">
        <v>5</v>
      </c>
      <c r="O48" s="78">
        <v>2.5000000000000001E-2</v>
      </c>
      <c r="P48" s="78">
        <v>0.97499999999999998</v>
      </c>
      <c r="Q48" s="79" t="s">
        <v>132</v>
      </c>
      <c r="R48" s="74"/>
      <c r="S48" s="80"/>
      <c r="T48" s="77" t="s">
        <v>5</v>
      </c>
      <c r="U48" s="78">
        <v>2.5000000000000001E-2</v>
      </c>
      <c r="V48" s="78">
        <v>0.97499999999999998</v>
      </c>
      <c r="W48" s="79" t="s">
        <v>132</v>
      </c>
      <c r="X48" s="74"/>
      <c r="Y48" s="81"/>
      <c r="Z48" s="82" t="s">
        <v>136</v>
      </c>
      <c r="AA48" s="82" t="s">
        <v>135</v>
      </c>
      <c r="AB48" s="74"/>
    </row>
    <row r="49" spans="1:28" x14ac:dyDescent="0.15">
      <c r="A49" s="74" t="s">
        <v>42</v>
      </c>
      <c r="B49" s="74" t="s">
        <v>188</v>
      </c>
      <c r="C49" s="74" t="s">
        <v>20</v>
      </c>
      <c r="D49" s="74">
        <v>2.0561054532289398</v>
      </c>
      <c r="E49" s="74">
        <v>0.65289583499590098</v>
      </c>
      <c r="F49" s="74">
        <v>1.85233115565436</v>
      </c>
      <c r="G49" s="74">
        <v>4.6251460539847802</v>
      </c>
      <c r="H49" s="74">
        <v>1.4729697074082599</v>
      </c>
      <c r="I49" s="74">
        <v>1.03695489434</v>
      </c>
      <c r="J49" s="74">
        <v>262.47563510341502</v>
      </c>
      <c r="K49" s="74"/>
      <c r="L49" s="74"/>
      <c r="M49" s="74" t="s">
        <v>150</v>
      </c>
      <c r="N49" s="74" t="s">
        <v>139</v>
      </c>
      <c r="O49" s="74"/>
      <c r="P49" s="74"/>
      <c r="Q49" s="76" t="s">
        <v>139</v>
      </c>
      <c r="R49" s="74"/>
      <c r="S49" s="74" t="s">
        <v>150</v>
      </c>
      <c r="T49" s="74" t="s">
        <v>139</v>
      </c>
      <c r="U49" s="74"/>
      <c r="V49" s="74"/>
      <c r="W49" s="76" t="s">
        <v>139</v>
      </c>
      <c r="X49" s="74"/>
      <c r="Y49" s="83"/>
      <c r="Z49" s="84" t="s">
        <v>132</v>
      </c>
      <c r="AA49" s="84" t="s">
        <v>132</v>
      </c>
      <c r="AB49" s="74"/>
    </row>
    <row r="50" spans="1:28" x14ac:dyDescent="0.15">
      <c r="A50" s="32" t="s">
        <v>43</v>
      </c>
      <c r="B50" s="32" t="s">
        <v>189</v>
      </c>
      <c r="C50" s="32" t="s">
        <v>38</v>
      </c>
      <c r="D50" s="32">
        <v>0.158771341718282</v>
      </c>
      <c r="E50" s="32">
        <v>6.8233139128828599E-2</v>
      </c>
      <c r="F50" s="32">
        <v>0.15807732667247901</v>
      </c>
      <c r="G50" s="32">
        <v>0.25331657682926501</v>
      </c>
      <c r="H50" s="32">
        <v>0.15809254431391401</v>
      </c>
      <c r="I50" s="32">
        <v>4.7134613630835397E-2</v>
      </c>
      <c r="J50" s="32">
        <v>266.49481041029901</v>
      </c>
      <c r="K50" s="74"/>
      <c r="L50" s="74"/>
      <c r="M50" s="83" t="s">
        <v>148</v>
      </c>
      <c r="N50" s="83">
        <v>0.88905650000000003</v>
      </c>
      <c r="O50" s="83">
        <v>0.3690214</v>
      </c>
      <c r="P50" s="83">
        <v>1.4104281000000001</v>
      </c>
      <c r="Q50" s="86" t="str">
        <f>CONCATENATE(TEXT(ROUND(N50, 2), "0.00"), " (", TEXT(ROUND(O50, 2), "0.00"), ",", TEXT(ROUND(P50, 2), "0.00"), ")")</f>
        <v>0.89 (0.37,1.41)</v>
      </c>
      <c r="R50" s="74"/>
      <c r="S50" s="83" t="s">
        <v>148</v>
      </c>
      <c r="T50" s="83">
        <v>2.432833</v>
      </c>
      <c r="U50" s="83">
        <v>1.4463189999999999</v>
      </c>
      <c r="V50" s="83">
        <v>4.097709</v>
      </c>
      <c r="W50" s="86" t="str">
        <f>CONCATENATE(TEXT(ROUND(T50, 2), "0.00"), " (", TEXT(ROUND(U50, 2), "0.00"), ",", TEXT(ROUND(V50, 2), "0.00"), ")")</f>
        <v>2.43 (1.45,4.10)</v>
      </c>
      <c r="X50" s="74"/>
      <c r="Y50" s="74" t="s">
        <v>151</v>
      </c>
      <c r="Z50" s="87" t="s">
        <v>119</v>
      </c>
      <c r="AA50" s="76">
        <v>1</v>
      </c>
      <c r="AB50" s="74"/>
    </row>
    <row r="51" spans="1:28" x14ac:dyDescent="0.15">
      <c r="A51" s="32" t="s">
        <v>43</v>
      </c>
      <c r="B51" s="32" t="s">
        <v>189</v>
      </c>
      <c r="C51" s="32" t="s">
        <v>39</v>
      </c>
      <c r="D51" s="32">
        <v>1.6288291633869201</v>
      </c>
      <c r="E51" s="32">
        <v>0.73467702603948104</v>
      </c>
      <c r="F51" s="32">
        <v>1.62856680830329</v>
      </c>
      <c r="G51" s="32">
        <v>2.5247707679123201</v>
      </c>
      <c r="H51" s="32">
        <v>1.62866674912416</v>
      </c>
      <c r="I51" s="32">
        <v>0.455866898421115</v>
      </c>
      <c r="J51" s="32">
        <v>266.49481041029901</v>
      </c>
      <c r="K51" s="74"/>
      <c r="L51" s="74"/>
      <c r="M51" s="74" t="s">
        <v>144</v>
      </c>
      <c r="N51" s="74"/>
      <c r="O51" s="74"/>
      <c r="P51" s="74"/>
      <c r="Q51" s="74"/>
      <c r="R51" s="74" t="s">
        <v>146</v>
      </c>
      <c r="S51" s="74" t="s">
        <v>144</v>
      </c>
      <c r="T51" s="74"/>
      <c r="U51" s="74"/>
      <c r="V51" s="74"/>
      <c r="W51" s="74"/>
      <c r="X51" s="74" t="s">
        <v>146</v>
      </c>
      <c r="Y51" s="83" t="s">
        <v>30</v>
      </c>
      <c r="Z51" s="88" t="s">
        <v>119</v>
      </c>
      <c r="AA51" s="126" t="str">
        <f>W50</f>
        <v>2.43 (1.45,4.10)</v>
      </c>
      <c r="AB51" s="74"/>
    </row>
    <row r="52" spans="1:28" x14ac:dyDescent="0.15">
      <c r="A52" s="32" t="s">
        <v>43</v>
      </c>
      <c r="B52" s="32" t="s">
        <v>189</v>
      </c>
      <c r="C52" s="32" t="s">
        <v>12</v>
      </c>
      <c r="D52" s="32">
        <v>0.15554863882047701</v>
      </c>
      <c r="E52" s="32">
        <v>-0.29446186423049397</v>
      </c>
      <c r="F52" s="32">
        <v>0.15511084864390201</v>
      </c>
      <c r="G52" s="32">
        <v>0.60836447136635796</v>
      </c>
      <c r="H52" s="32">
        <v>0.15520812310003801</v>
      </c>
      <c r="I52" s="32">
        <v>0.22962817253331599</v>
      </c>
      <c r="J52" s="32">
        <v>266.49481041029901</v>
      </c>
      <c r="K52" s="74"/>
      <c r="L52" s="74"/>
      <c r="M52" s="74"/>
      <c r="N52" s="74"/>
      <c r="O52" s="74"/>
      <c r="P52" s="74"/>
      <c r="Q52" s="74"/>
      <c r="R52" s="74"/>
      <c r="S52" s="74"/>
      <c r="T52" s="74"/>
      <c r="U52" s="74"/>
      <c r="V52" s="74"/>
      <c r="W52" s="74"/>
      <c r="X52" s="74"/>
      <c r="Y52" s="74"/>
      <c r="Z52" s="74"/>
      <c r="AA52" s="74"/>
      <c r="AB52" s="74"/>
    </row>
    <row r="53" spans="1:28" x14ac:dyDescent="0.15">
      <c r="A53" s="32" t="s">
        <v>43</v>
      </c>
      <c r="B53" s="32" t="s">
        <v>189</v>
      </c>
      <c r="C53" s="32" t="s">
        <v>13</v>
      </c>
      <c r="D53" s="32">
        <v>-0.55500147656058796</v>
      </c>
      <c r="E53" s="32">
        <v>-1.18510201394434</v>
      </c>
      <c r="F53" s="32">
        <v>-0.556889716109224</v>
      </c>
      <c r="G53" s="32">
        <v>8.6475576347281993E-2</v>
      </c>
      <c r="H53" s="32">
        <v>-0.55668274603939505</v>
      </c>
      <c r="I53" s="32">
        <v>0.32301035134752099</v>
      </c>
      <c r="J53" s="32">
        <v>266.49481041029901</v>
      </c>
      <c r="K53" s="74"/>
      <c r="L53" s="74"/>
      <c r="M53" s="74"/>
      <c r="N53" s="74"/>
      <c r="O53" s="74"/>
      <c r="P53" s="74"/>
      <c r="Q53" s="74"/>
      <c r="R53" s="74"/>
      <c r="S53" s="74"/>
      <c r="T53" s="74"/>
      <c r="U53" s="74"/>
      <c r="V53" s="74"/>
      <c r="W53" s="74"/>
      <c r="X53" s="74"/>
      <c r="Y53" s="74"/>
      <c r="Z53" s="74"/>
      <c r="AA53" s="74"/>
      <c r="AB53" s="74"/>
    </row>
    <row r="54" spans="1:28" x14ac:dyDescent="0.15">
      <c r="A54" s="32" t="s">
        <v>43</v>
      </c>
      <c r="B54" s="32" t="s">
        <v>189</v>
      </c>
      <c r="C54" s="32" t="s">
        <v>40</v>
      </c>
      <c r="D54" s="32">
        <v>0.43036132715773701</v>
      </c>
      <c r="E54" s="32">
        <v>0.213137062969803</v>
      </c>
      <c r="F54" s="32">
        <v>0.429494214107845</v>
      </c>
      <c r="G54" s="32">
        <v>0.65254028502699402</v>
      </c>
      <c r="H54" s="32">
        <v>0.42949995959926202</v>
      </c>
      <c r="I54" s="32">
        <v>0.111834606968434</v>
      </c>
      <c r="J54" s="32">
        <v>266.49481041029901</v>
      </c>
      <c r="K54" s="74"/>
      <c r="L54" s="74"/>
      <c r="M54" s="74"/>
      <c r="N54" s="74"/>
      <c r="O54" s="74"/>
      <c r="P54" s="74"/>
      <c r="Q54" s="74"/>
      <c r="R54" s="74"/>
      <c r="S54" s="74"/>
      <c r="T54" s="74"/>
      <c r="U54" s="74"/>
      <c r="V54" s="74"/>
      <c r="W54" s="74"/>
      <c r="X54" s="74"/>
      <c r="Y54" s="74"/>
      <c r="Z54" s="74"/>
      <c r="AA54" s="74"/>
      <c r="AB54" s="74"/>
    </row>
    <row r="55" spans="1:28" x14ac:dyDescent="0.15">
      <c r="A55" s="32" t="s">
        <v>43</v>
      </c>
      <c r="B55" s="32" t="s">
        <v>189</v>
      </c>
      <c r="C55" s="32" t="s">
        <v>14</v>
      </c>
      <c r="D55" s="32">
        <v>-0.24505605403123401</v>
      </c>
      <c r="E55" s="32">
        <v>-1.14628606091148</v>
      </c>
      <c r="F55" s="32">
        <v>-0.23962893060667101</v>
      </c>
      <c r="G55" s="32">
        <v>0.62540196179040397</v>
      </c>
      <c r="H55" s="32">
        <v>-0.23961452365889599</v>
      </c>
      <c r="I55" s="32">
        <v>0.45098766849975802</v>
      </c>
      <c r="J55" s="32">
        <v>266.49481041029901</v>
      </c>
      <c r="K55" s="74">
        <f>D57</f>
        <v>393.91303766530802</v>
      </c>
      <c r="L55" s="74"/>
      <c r="M55" s="74" t="s">
        <v>58</v>
      </c>
      <c r="N55" s="74"/>
      <c r="O55" s="74"/>
      <c r="P55" s="74"/>
      <c r="Q55" s="74"/>
      <c r="R55" s="74"/>
      <c r="S55" s="74"/>
      <c r="T55" s="74"/>
      <c r="U55" s="74"/>
      <c r="V55" s="74"/>
      <c r="W55" s="74"/>
      <c r="X55" s="74"/>
      <c r="Y55" s="74"/>
      <c r="Z55" s="74"/>
      <c r="AA55" s="74"/>
      <c r="AB55" s="74"/>
    </row>
    <row r="56" spans="1:28" x14ac:dyDescent="0.15">
      <c r="A56" s="32" t="s">
        <v>43</v>
      </c>
      <c r="B56" s="32" t="s">
        <v>189</v>
      </c>
      <c r="C56" s="32" t="s">
        <v>30</v>
      </c>
      <c r="D56" s="32">
        <v>0.29864575293821799</v>
      </c>
      <c r="E56" s="32">
        <v>-5.6445774414768002E-2</v>
      </c>
      <c r="F56" s="32">
        <v>0.29816565680610202</v>
      </c>
      <c r="G56" s="32">
        <v>0.65656374667360995</v>
      </c>
      <c r="H56" s="32">
        <v>0.29819784553859902</v>
      </c>
      <c r="I56" s="32">
        <v>0.18157097111517001</v>
      </c>
      <c r="J56" s="32">
        <v>266.49481041029901</v>
      </c>
      <c r="K56" s="74"/>
      <c r="L56" s="74"/>
      <c r="M56" s="74"/>
      <c r="N56" s="74"/>
      <c r="O56" s="74"/>
      <c r="P56" s="74"/>
      <c r="Q56" s="74"/>
      <c r="R56" s="74"/>
      <c r="S56" s="74"/>
      <c r="T56" s="74"/>
      <c r="U56" s="74"/>
      <c r="V56" s="74"/>
      <c r="W56" s="74"/>
      <c r="X56" s="74"/>
      <c r="Y56" s="74"/>
      <c r="Z56" s="74"/>
      <c r="AA56" s="74"/>
      <c r="AB56" s="74"/>
    </row>
    <row r="57" spans="1:28" x14ac:dyDescent="0.15">
      <c r="A57" s="32" t="s">
        <v>43</v>
      </c>
      <c r="B57" s="32" t="s">
        <v>189</v>
      </c>
      <c r="C57" s="32" t="s">
        <v>19</v>
      </c>
      <c r="D57" s="32">
        <v>393.91303766530802</v>
      </c>
      <c r="E57" s="32">
        <v>86.506262673065606</v>
      </c>
      <c r="F57" s="32">
        <v>303.34430200739598</v>
      </c>
      <c r="G57" s="32">
        <v>1255.5266400665901</v>
      </c>
      <c r="H57" s="32">
        <v>190.70461880994199</v>
      </c>
      <c r="I57" s="32">
        <v>323.30545734409901</v>
      </c>
      <c r="J57" s="32">
        <v>266.49481041029901</v>
      </c>
      <c r="K57" s="74">
        <f>D59</f>
        <v>0.14652059881641899</v>
      </c>
      <c r="L57" s="74"/>
      <c r="M57" s="74" t="s">
        <v>59</v>
      </c>
      <c r="N57" s="74"/>
      <c r="O57" s="74"/>
      <c r="P57" s="74"/>
      <c r="Q57" s="74"/>
      <c r="R57" s="74"/>
      <c r="S57" s="74"/>
      <c r="T57" s="74"/>
      <c r="U57" s="74"/>
      <c r="V57" s="74"/>
      <c r="W57" s="74"/>
      <c r="X57" s="74"/>
      <c r="Y57" s="74"/>
      <c r="Z57" s="74"/>
      <c r="AA57" s="74"/>
      <c r="AB57" s="74"/>
    </row>
    <row r="58" spans="1:28" x14ac:dyDescent="0.15">
      <c r="A58" s="32" t="s">
        <v>43</v>
      </c>
      <c r="B58" s="32" t="s">
        <v>189</v>
      </c>
      <c r="C58" s="32" t="s">
        <v>20</v>
      </c>
      <c r="D58" s="32">
        <v>1.9023761637916199</v>
      </c>
      <c r="E58" s="32">
        <v>0.578922978103112</v>
      </c>
      <c r="F58" s="32">
        <v>1.7059868726724501</v>
      </c>
      <c r="G58" s="32">
        <v>4.34554342709946</v>
      </c>
      <c r="H58" s="32">
        <v>1.3371317264932201</v>
      </c>
      <c r="I58" s="32">
        <v>0.98469353947784</v>
      </c>
      <c r="J58" s="32">
        <v>266.49481041029901</v>
      </c>
      <c r="K58" s="74"/>
      <c r="L58" s="74"/>
      <c r="M58" s="74"/>
      <c r="N58" s="74"/>
      <c r="O58" s="74"/>
      <c r="P58" s="74"/>
      <c r="Q58" s="74"/>
      <c r="R58" s="74"/>
      <c r="S58" s="74"/>
      <c r="T58" s="74"/>
      <c r="U58" s="74"/>
      <c r="V58" s="74"/>
      <c r="W58" s="74"/>
      <c r="X58" s="74"/>
      <c r="Y58" s="74"/>
      <c r="Z58" s="74"/>
      <c r="AA58" s="74"/>
      <c r="AB58" s="74"/>
    </row>
    <row r="59" spans="1:28" x14ac:dyDescent="0.15">
      <c r="A59" s="32" t="s">
        <v>44</v>
      </c>
      <c r="B59" s="32" t="s">
        <v>194</v>
      </c>
      <c r="C59" s="32" t="s">
        <v>38</v>
      </c>
      <c r="D59" s="32">
        <v>0.14652059881641899</v>
      </c>
      <c r="E59" s="32">
        <v>6.1764402229087197E-2</v>
      </c>
      <c r="F59" s="32">
        <v>0.14652059881641899</v>
      </c>
      <c r="G59" s="32">
        <v>0.23127679540375001</v>
      </c>
      <c r="H59" s="32">
        <v>0.14652059881641899</v>
      </c>
      <c r="I59" s="32">
        <v>4.3243752056607902E-2</v>
      </c>
      <c r="J59" s="32">
        <v>272.424295874839</v>
      </c>
      <c r="K59" s="89"/>
      <c r="L59" s="89"/>
      <c r="M59" s="89"/>
      <c r="N59" s="89"/>
      <c r="O59" s="89"/>
      <c r="P59" s="89"/>
      <c r="Q59" s="89"/>
      <c r="R59" s="89"/>
      <c r="S59" s="89"/>
      <c r="T59" s="89"/>
      <c r="U59" s="89"/>
      <c r="V59" s="89"/>
      <c r="W59" s="89"/>
      <c r="X59" s="89"/>
      <c r="Y59" s="89"/>
      <c r="Z59" s="89"/>
      <c r="AA59" s="89"/>
      <c r="AB59" s="89"/>
    </row>
    <row r="60" spans="1:28" x14ac:dyDescent="0.15">
      <c r="A60" s="32" t="s">
        <v>44</v>
      </c>
      <c r="B60" s="32" t="s">
        <v>194</v>
      </c>
      <c r="C60" s="32" t="s">
        <v>39</v>
      </c>
      <c r="D60" s="32">
        <v>1.5973889338512699</v>
      </c>
      <c r="E60" s="32">
        <v>0.78413876187339104</v>
      </c>
      <c r="F60" s="32">
        <v>1.5973889338512699</v>
      </c>
      <c r="G60" s="32">
        <v>2.4106391058291599</v>
      </c>
      <c r="H60" s="32">
        <v>1.5973889338512699</v>
      </c>
      <c r="I60" s="32">
        <v>0.41493118158940501</v>
      </c>
      <c r="J60" s="32">
        <v>272.424295874839</v>
      </c>
      <c r="K60" s="89"/>
      <c r="L60" s="89"/>
      <c r="M60" s="90" t="s">
        <v>53</v>
      </c>
      <c r="N60" s="89">
        <f>(J66-J67)/J66</f>
        <v>3.6138054596569741E-2</v>
      </c>
      <c r="O60" s="89"/>
      <c r="P60" s="89"/>
      <c r="Q60" s="89"/>
      <c r="R60" s="89"/>
      <c r="S60" s="89"/>
      <c r="T60" s="89"/>
      <c r="U60" s="89"/>
      <c r="V60" s="89"/>
      <c r="W60" s="89"/>
      <c r="X60" s="89"/>
      <c r="Y60" s="89"/>
      <c r="Z60" s="89"/>
      <c r="AA60" s="89"/>
      <c r="AB60" s="89"/>
    </row>
    <row r="61" spans="1:28" x14ac:dyDescent="0.15">
      <c r="A61" s="32" t="s">
        <v>44</v>
      </c>
      <c r="B61" s="32" t="s">
        <v>194</v>
      </c>
      <c r="C61" s="32" t="s">
        <v>12</v>
      </c>
      <c r="D61" s="32">
        <v>0.117994886239825</v>
      </c>
      <c r="E61" s="32">
        <v>-0.27623756215574902</v>
      </c>
      <c r="F61" s="32">
        <v>0.117994886239825</v>
      </c>
      <c r="G61" s="32">
        <v>0.51222733463539805</v>
      </c>
      <c r="H61" s="32">
        <v>0.117994886239825</v>
      </c>
      <c r="I61" s="32">
        <v>0.20114270032777601</v>
      </c>
      <c r="J61" s="32">
        <v>272.424295874839</v>
      </c>
      <c r="K61" s="89"/>
      <c r="L61" s="89"/>
      <c r="M61" s="89"/>
      <c r="N61" s="89"/>
      <c r="O61" s="89"/>
      <c r="P61" s="89"/>
      <c r="Q61" s="89"/>
      <c r="R61" s="89"/>
      <c r="S61" s="89"/>
      <c r="T61" s="89"/>
      <c r="U61" s="89"/>
      <c r="V61" s="89"/>
      <c r="W61" s="89"/>
      <c r="X61" s="89"/>
      <c r="Y61" s="89"/>
      <c r="Z61" s="89"/>
      <c r="AA61" s="89"/>
      <c r="AB61" s="89"/>
    </row>
    <row r="62" spans="1:28" x14ac:dyDescent="0.15">
      <c r="A62" s="32" t="s">
        <v>44</v>
      </c>
      <c r="B62" s="32" t="s">
        <v>194</v>
      </c>
      <c r="C62" s="32" t="s">
        <v>13</v>
      </c>
      <c r="D62" s="32">
        <v>-0.50987838012684505</v>
      </c>
      <c r="E62" s="32">
        <v>-1.0498241038560501</v>
      </c>
      <c r="F62" s="32">
        <v>-0.50987838012684505</v>
      </c>
      <c r="G62" s="32">
        <v>3.00673436023568E-2</v>
      </c>
      <c r="H62" s="32">
        <v>-0.50987838012684505</v>
      </c>
      <c r="I62" s="32">
        <v>0.27548757425555997</v>
      </c>
      <c r="J62" s="32">
        <v>272.424295874839</v>
      </c>
      <c r="K62" s="89"/>
      <c r="L62" s="89"/>
      <c r="M62" s="89"/>
      <c r="N62" s="89"/>
      <c r="O62" s="89"/>
      <c r="P62" s="89"/>
      <c r="Q62" s="89"/>
      <c r="R62" s="89"/>
      <c r="S62" s="89"/>
      <c r="T62" s="89"/>
      <c r="U62" s="89"/>
      <c r="V62" s="89"/>
      <c r="W62" s="89"/>
      <c r="X62" s="89"/>
      <c r="Y62" s="89"/>
      <c r="Z62" s="89"/>
      <c r="AA62" s="89"/>
      <c r="AB62" s="89"/>
    </row>
    <row r="63" spans="1:28" x14ac:dyDescent="0.15">
      <c r="A63" s="32" t="s">
        <v>44</v>
      </c>
      <c r="B63" s="32" t="s">
        <v>194</v>
      </c>
      <c r="C63" s="32" t="s">
        <v>40</v>
      </c>
      <c r="D63" s="32">
        <v>0.44336826574406302</v>
      </c>
      <c r="E63" s="32">
        <v>0.21472170923954301</v>
      </c>
      <c r="F63" s="32">
        <v>0.44336826574406302</v>
      </c>
      <c r="G63" s="32">
        <v>0.672014822248582</v>
      </c>
      <c r="H63" s="32">
        <v>0.44336826574406302</v>
      </c>
      <c r="I63" s="32">
        <v>0.116658550008089</v>
      </c>
      <c r="J63" s="32">
        <v>272.424295874839</v>
      </c>
      <c r="K63" s="89"/>
      <c r="L63" s="89"/>
      <c r="M63" s="89"/>
      <c r="N63" s="89"/>
      <c r="O63" s="89"/>
      <c r="P63" s="89"/>
      <c r="Q63" s="89"/>
      <c r="R63" s="89"/>
      <c r="S63" s="89"/>
      <c r="T63" s="89"/>
      <c r="U63" s="89"/>
      <c r="V63" s="89"/>
      <c r="W63" s="89"/>
      <c r="X63" s="89"/>
      <c r="Y63" s="89"/>
      <c r="Z63" s="89"/>
      <c r="AA63" s="89"/>
      <c r="AB63" s="89"/>
    </row>
    <row r="64" spans="1:28" x14ac:dyDescent="0.15">
      <c r="A64" s="32" t="s">
        <v>44</v>
      </c>
      <c r="B64" s="32" t="s">
        <v>194</v>
      </c>
      <c r="C64" s="32" t="s">
        <v>14</v>
      </c>
      <c r="D64" s="32">
        <v>-1.5968925690914499</v>
      </c>
      <c r="E64" s="32">
        <v>-2.9197041461764601</v>
      </c>
      <c r="F64" s="32">
        <v>-1.5968925690914499</v>
      </c>
      <c r="G64" s="32">
        <v>-0.27408099200645403</v>
      </c>
      <c r="H64" s="32">
        <v>-1.5968925690914499</v>
      </c>
      <c r="I64" s="32">
        <v>0.67491626760449197</v>
      </c>
      <c r="J64" s="32">
        <v>272.424295874839</v>
      </c>
      <c r="K64" s="89"/>
      <c r="L64" s="89"/>
      <c r="M64" s="89"/>
      <c r="N64" s="89"/>
      <c r="O64" s="89"/>
      <c r="P64" s="89"/>
      <c r="Q64" s="89"/>
      <c r="R64" s="89"/>
      <c r="S64" s="89"/>
      <c r="T64" s="89"/>
      <c r="U64" s="89"/>
      <c r="V64" s="89"/>
      <c r="W64" s="89"/>
      <c r="X64" s="89"/>
      <c r="Y64" s="89"/>
      <c r="Z64" s="89"/>
      <c r="AA64" s="89"/>
      <c r="AB64" s="89"/>
    </row>
    <row r="65" spans="1:28" x14ac:dyDescent="0.15">
      <c r="A65" s="32" t="s">
        <v>44</v>
      </c>
      <c r="B65" s="32" t="s">
        <v>194</v>
      </c>
      <c r="C65" s="32" t="s">
        <v>45</v>
      </c>
      <c r="D65" s="32">
        <v>-0.196490095654934</v>
      </c>
      <c r="E65" s="32">
        <v>-0.43062641190073098</v>
      </c>
      <c r="F65" s="32">
        <v>-0.196490095654934</v>
      </c>
      <c r="G65" s="32">
        <v>3.76462205908627E-2</v>
      </c>
      <c r="H65" s="32">
        <v>-0.196490095654934</v>
      </c>
      <c r="I65" s="32">
        <v>0.119459499303372</v>
      </c>
      <c r="J65" s="32">
        <v>272.424295874839</v>
      </c>
      <c r="K65" s="89"/>
      <c r="L65" s="89"/>
      <c r="M65" s="89"/>
      <c r="N65" s="89"/>
      <c r="O65" s="89"/>
      <c r="P65" s="89"/>
      <c r="Q65" s="89"/>
      <c r="R65" s="89"/>
      <c r="S65" s="89"/>
      <c r="T65" s="89"/>
      <c r="U65" s="89"/>
      <c r="V65" s="89"/>
      <c r="W65" s="89"/>
      <c r="X65" s="89"/>
      <c r="Y65" s="89"/>
      <c r="Z65" s="89"/>
      <c r="AA65" s="89"/>
      <c r="AB65" s="89"/>
    </row>
    <row r="66" spans="1:28" x14ac:dyDescent="0.15">
      <c r="A66" s="32" t="s">
        <v>44</v>
      </c>
      <c r="B66" s="32" t="s">
        <v>194</v>
      </c>
      <c r="C66" s="32" t="s">
        <v>46</v>
      </c>
      <c r="D66" s="32">
        <v>0.61645644788354403</v>
      </c>
      <c r="E66" s="32">
        <v>0.23568171746007299</v>
      </c>
      <c r="F66" s="32">
        <v>0.61645644788354403</v>
      </c>
      <c r="G66" s="32">
        <v>0.99723117830701402</v>
      </c>
      <c r="H66" s="32">
        <v>0.61645644788354403</v>
      </c>
      <c r="I66" s="32">
        <v>0.19427639151891199</v>
      </c>
      <c r="J66" s="32">
        <v>272.424295874839</v>
      </c>
      <c r="K66" s="89"/>
      <c r="L66" s="89"/>
      <c r="M66" s="89"/>
      <c r="N66" s="89"/>
      <c r="O66" s="89"/>
      <c r="P66" s="89"/>
      <c r="Q66" s="89"/>
      <c r="R66" s="89"/>
      <c r="S66" s="89"/>
      <c r="T66" s="89"/>
      <c r="U66" s="89"/>
      <c r="V66" s="89"/>
      <c r="W66" s="89"/>
      <c r="X66" s="89"/>
      <c r="Y66" s="89"/>
      <c r="Z66" s="89"/>
      <c r="AA66" s="89"/>
      <c r="AB66" s="89"/>
    </row>
    <row r="67" spans="1:28" x14ac:dyDescent="0.15">
      <c r="A67" s="89" t="s">
        <v>47</v>
      </c>
      <c r="B67" s="89" t="s">
        <v>195</v>
      </c>
      <c r="C67" s="89" t="s">
        <v>38</v>
      </c>
      <c r="D67" s="89">
        <v>0.17219569423970699</v>
      </c>
      <c r="E67" s="89">
        <v>7.7203512855900602E-2</v>
      </c>
      <c r="F67" s="89">
        <v>0.17109300496049001</v>
      </c>
      <c r="G67" s="89">
        <v>0.27355307593603601</v>
      </c>
      <c r="H67" s="89">
        <v>0.171117246045421</v>
      </c>
      <c r="I67" s="89">
        <v>4.9967823742694102E-2</v>
      </c>
      <c r="J67" s="89">
        <v>262.579411797082</v>
      </c>
      <c r="K67" s="89"/>
      <c r="L67" s="89"/>
      <c r="M67" s="89"/>
      <c r="N67" s="89"/>
      <c r="O67" s="89"/>
      <c r="P67" s="89"/>
      <c r="Q67" s="89"/>
      <c r="R67" s="89"/>
      <c r="S67" s="89"/>
      <c r="T67" s="89"/>
      <c r="U67" s="89"/>
      <c r="V67" s="89"/>
      <c r="W67" s="89"/>
      <c r="X67" s="89"/>
      <c r="Y67" s="89"/>
      <c r="Z67" s="89"/>
      <c r="AA67" s="89"/>
      <c r="AB67" s="89"/>
    </row>
    <row r="68" spans="1:28" x14ac:dyDescent="0.15">
      <c r="A68" s="89" t="s">
        <v>47</v>
      </c>
      <c r="B68" s="89" t="s">
        <v>195</v>
      </c>
      <c r="C68" s="89" t="s">
        <v>39</v>
      </c>
      <c r="D68" s="89">
        <v>1.57768613835676</v>
      </c>
      <c r="E68" s="89">
        <v>0.67505303254026805</v>
      </c>
      <c r="F68" s="89">
        <v>1.5766496576112199</v>
      </c>
      <c r="G68" s="89">
        <v>2.48672919688063</v>
      </c>
      <c r="H68" s="89">
        <v>1.5768311965374999</v>
      </c>
      <c r="I68" s="89">
        <v>0.461072262795445</v>
      </c>
      <c r="J68" s="89">
        <v>262.579411797082</v>
      </c>
      <c r="K68" s="89"/>
      <c r="L68" s="89"/>
      <c r="M68" s="89"/>
      <c r="N68" s="89"/>
      <c r="O68" s="89"/>
      <c r="P68" s="89"/>
      <c r="Q68" s="89"/>
      <c r="R68" s="89"/>
      <c r="S68" s="89"/>
      <c r="T68" s="89"/>
      <c r="U68" s="89"/>
      <c r="V68" s="89"/>
      <c r="W68" s="89"/>
      <c r="X68" s="89"/>
      <c r="Y68" s="89"/>
      <c r="Z68" s="89"/>
      <c r="AA68" s="89"/>
      <c r="AB68" s="89"/>
    </row>
    <row r="69" spans="1:28" x14ac:dyDescent="0.15">
      <c r="A69" s="89" t="s">
        <v>47</v>
      </c>
      <c r="B69" s="89" t="s">
        <v>195</v>
      </c>
      <c r="C69" s="89" t="s">
        <v>12</v>
      </c>
      <c r="D69" s="89">
        <v>0.121690294285309</v>
      </c>
      <c r="E69" s="89">
        <v>-0.332748249672362</v>
      </c>
      <c r="F69" s="89">
        <v>0.120642022030469</v>
      </c>
      <c r="G69" s="89">
        <v>0.58231335800039097</v>
      </c>
      <c r="H69" s="89">
        <v>0.12070543959483</v>
      </c>
      <c r="I69" s="89">
        <v>0.23255930596437699</v>
      </c>
      <c r="J69" s="89">
        <v>262.579411797082</v>
      </c>
      <c r="K69" s="89"/>
      <c r="L69" s="89"/>
      <c r="M69" s="90" t="s">
        <v>138</v>
      </c>
      <c r="N69" s="89"/>
      <c r="O69" s="89"/>
      <c r="P69" s="89"/>
      <c r="Q69" s="89"/>
      <c r="R69" s="89"/>
      <c r="S69" s="90" t="s">
        <v>145</v>
      </c>
      <c r="T69" s="89"/>
      <c r="U69" s="89"/>
      <c r="V69" s="89"/>
      <c r="W69" s="91"/>
      <c r="X69" s="89"/>
      <c r="Y69" s="90" t="s">
        <v>183</v>
      </c>
      <c r="Z69" s="89"/>
      <c r="AA69" s="89"/>
      <c r="AB69" s="89" t="s">
        <v>146</v>
      </c>
    </row>
    <row r="70" spans="1:28" x14ac:dyDescent="0.15">
      <c r="A70" s="89" t="s">
        <v>47</v>
      </c>
      <c r="B70" s="89" t="s">
        <v>195</v>
      </c>
      <c r="C70" s="89" t="s">
        <v>13</v>
      </c>
      <c r="D70" s="89">
        <v>-0.49184105661458799</v>
      </c>
      <c r="E70" s="89">
        <v>-1.13255622613906</v>
      </c>
      <c r="F70" s="89">
        <v>-0.49479604511048397</v>
      </c>
      <c r="G70" s="89">
        <v>0.16660355182078099</v>
      </c>
      <c r="H70" s="89">
        <v>-0.494496438415159</v>
      </c>
      <c r="I70" s="89">
        <v>0.32967449176758701</v>
      </c>
      <c r="J70" s="89">
        <v>262.579411797082</v>
      </c>
      <c r="K70" s="89"/>
      <c r="L70" s="89"/>
      <c r="M70" s="92"/>
      <c r="N70" s="92" t="s">
        <v>5</v>
      </c>
      <c r="O70" s="93">
        <v>2.5000000000000001E-2</v>
      </c>
      <c r="P70" s="93">
        <v>0.97499999999999998</v>
      </c>
      <c r="Q70" s="94" t="s">
        <v>132</v>
      </c>
      <c r="R70" s="89"/>
      <c r="S70" s="95"/>
      <c r="T70" s="96" t="s">
        <v>5</v>
      </c>
      <c r="U70" s="94">
        <v>2.5000000000000001E-2</v>
      </c>
      <c r="V70" s="94">
        <v>0.97499999999999998</v>
      </c>
      <c r="W70" s="94" t="s">
        <v>132</v>
      </c>
      <c r="X70" s="89"/>
      <c r="Y70" s="97"/>
      <c r="Z70" s="98" t="s">
        <v>136</v>
      </c>
      <c r="AA70" s="98" t="s">
        <v>135</v>
      </c>
      <c r="AB70" s="89"/>
    </row>
    <row r="71" spans="1:28" x14ac:dyDescent="0.15">
      <c r="A71" s="89" t="s">
        <v>47</v>
      </c>
      <c r="B71" s="89" t="s">
        <v>195</v>
      </c>
      <c r="C71" s="89" t="s">
        <v>40</v>
      </c>
      <c r="D71" s="89">
        <v>0.43588923064228902</v>
      </c>
      <c r="E71" s="89">
        <v>0.21191103153142599</v>
      </c>
      <c r="F71" s="89">
        <v>0.43499448962137699</v>
      </c>
      <c r="G71" s="89">
        <v>0.66504704111525104</v>
      </c>
      <c r="H71" s="89">
        <v>0.43503875777478201</v>
      </c>
      <c r="I71" s="89">
        <v>0.115438514430501</v>
      </c>
      <c r="J71" s="89">
        <v>262.579411797082</v>
      </c>
      <c r="K71" s="89"/>
      <c r="L71" s="89"/>
      <c r="M71" s="97" t="s">
        <v>153</v>
      </c>
      <c r="N71" s="98" t="s">
        <v>139</v>
      </c>
      <c r="O71" s="97"/>
      <c r="P71" s="97"/>
      <c r="Q71" s="91"/>
      <c r="R71" s="89"/>
      <c r="S71" s="97" t="s">
        <v>153</v>
      </c>
      <c r="T71" s="91" t="s">
        <v>139</v>
      </c>
      <c r="U71" s="91"/>
      <c r="V71" s="91"/>
      <c r="W71" s="91">
        <v>1</v>
      </c>
      <c r="X71" s="89"/>
      <c r="Y71" s="99"/>
      <c r="Z71" s="100" t="s">
        <v>132</v>
      </c>
      <c r="AA71" s="100" t="s">
        <v>132</v>
      </c>
      <c r="AB71" s="89"/>
    </row>
    <row r="72" spans="1:28" x14ac:dyDescent="0.15">
      <c r="A72" s="89" t="s">
        <v>47</v>
      </c>
      <c r="B72" s="89" t="s">
        <v>195</v>
      </c>
      <c r="C72" s="89" t="s">
        <v>14</v>
      </c>
      <c r="D72" s="89">
        <v>-1.66448916957661</v>
      </c>
      <c r="E72" s="89">
        <v>-3.06367551097747</v>
      </c>
      <c r="F72" s="89">
        <v>-1.65981559093065</v>
      </c>
      <c r="G72" s="89">
        <v>-0.29280926693897302</v>
      </c>
      <c r="H72" s="89">
        <v>-1.66010654423639</v>
      </c>
      <c r="I72" s="89">
        <v>0.70582712892195099</v>
      </c>
      <c r="J72" s="89">
        <v>262.579411797082</v>
      </c>
      <c r="K72" s="89"/>
      <c r="L72" s="89"/>
      <c r="M72" s="89" t="s">
        <v>154</v>
      </c>
      <c r="N72" s="89">
        <f>F73</f>
        <v>-0.22193013820964</v>
      </c>
      <c r="O72" s="89">
        <f>E73</f>
        <v>-0.49090902022162702</v>
      </c>
      <c r="P72" s="89">
        <f>G73</f>
        <v>3.3441015631283197E-2</v>
      </c>
      <c r="Q72" s="91" t="str">
        <f>CONCATENATE(TEXT(ROUND(N72, 2), "0.00"), " (", TEXT(ROUND(O72, 2), "0.00"), ",", TEXT(ROUND(P72, 2), "0.00"), ")")</f>
        <v>-0.22 (-0.49,0.03)</v>
      </c>
      <c r="R72" s="89"/>
      <c r="S72" s="89" t="s">
        <v>154</v>
      </c>
      <c r="T72" s="91">
        <f t="shared" ref="T72:V73" si="5">EXP(N72)</f>
        <v>0.80097131967048563</v>
      </c>
      <c r="U72" s="91">
        <f t="shared" si="5"/>
        <v>0.6120697574391587</v>
      </c>
      <c r="V72" s="91">
        <f t="shared" si="5"/>
        <v>1.0340064517097052</v>
      </c>
      <c r="W72" s="101" t="str">
        <f>CONCATENATE(TEXT(ROUND(T72, 2), "0.00"), " (", TEXT(ROUND(U72, 2), "0.00"), ",", TEXT(ROUND(V72, 2), "0.00"), ")")</f>
        <v>0.80 (0.61,1.03)</v>
      </c>
      <c r="X72" s="89"/>
      <c r="Y72" s="102" t="s">
        <v>152</v>
      </c>
      <c r="Z72" s="91">
        <v>1</v>
      </c>
      <c r="AA72" s="91" t="str">
        <f>W73</f>
        <v>0.19 (0.05,0.75)</v>
      </c>
      <c r="AB72" s="89"/>
    </row>
    <row r="73" spans="1:28" x14ac:dyDescent="0.15">
      <c r="A73" s="89" t="s">
        <v>47</v>
      </c>
      <c r="B73" s="89" t="s">
        <v>195</v>
      </c>
      <c r="C73" s="89" t="s">
        <v>45</v>
      </c>
      <c r="D73" s="89">
        <v>-0.223654707450016</v>
      </c>
      <c r="E73" s="89">
        <v>-0.49090902022162702</v>
      </c>
      <c r="F73" s="89">
        <v>-0.22193013820964</v>
      </c>
      <c r="G73" s="89">
        <v>3.3441015631283197E-2</v>
      </c>
      <c r="H73" s="89">
        <v>-0.22204166642388701</v>
      </c>
      <c r="I73" s="89">
        <v>0.13338395808161799</v>
      </c>
      <c r="J73" s="89">
        <v>262.579411797082</v>
      </c>
      <c r="K73" s="89"/>
      <c r="L73" s="89"/>
      <c r="M73" s="89" t="s">
        <v>155</v>
      </c>
      <c r="N73" s="89">
        <f>F72</f>
        <v>-1.65981559093065</v>
      </c>
      <c r="O73" s="89">
        <f>E72</f>
        <v>-3.06367551097747</v>
      </c>
      <c r="P73" s="89">
        <f>G72</f>
        <v>-0.29280926693897302</v>
      </c>
      <c r="Q73" s="91" t="str">
        <f>CONCATENATE(TEXT(ROUND(N73, 2), "0.00"), " (", TEXT(ROUND(O73, 2), "0.00"), "-", TEXT(ROUND(P73, 2), "0.00"), ")")</f>
        <v>-1.66 (-3.06--0.29)</v>
      </c>
      <c r="R73" s="89"/>
      <c r="S73" s="89" t="s">
        <v>155</v>
      </c>
      <c r="T73" s="91">
        <f t="shared" si="5"/>
        <v>0.19017404668708704</v>
      </c>
      <c r="U73" s="91">
        <f t="shared" si="5"/>
        <v>4.6715675305697646E-2</v>
      </c>
      <c r="V73" s="91">
        <f t="shared" si="5"/>
        <v>0.74616444535438053</v>
      </c>
      <c r="W73" s="101" t="str">
        <f>CONCATENATE(TEXT(ROUND(T73, 2), "0.00"), " (", TEXT(ROUND(U73, 2), "0.00"), ",", TEXT(ROUND(V73, 2), "0.00"), ")")</f>
        <v>0.19 (0.05,0.75)</v>
      </c>
      <c r="X73" s="89"/>
      <c r="Y73" s="103" t="s">
        <v>91</v>
      </c>
      <c r="Z73" s="127" t="str">
        <f>W72</f>
        <v>0.80 (0.61,1.03)</v>
      </c>
      <c r="AA73" s="100" t="str">
        <f>W74</f>
        <v>0.29 (0.09,0.97)</v>
      </c>
      <c r="AB73" s="89"/>
    </row>
    <row r="74" spans="1:28" x14ac:dyDescent="0.15">
      <c r="A74" s="89" t="s">
        <v>47</v>
      </c>
      <c r="B74" s="89" t="s">
        <v>195</v>
      </c>
      <c r="C74" s="89" t="s">
        <v>46</v>
      </c>
      <c r="D74" s="89">
        <v>0.62347434057151696</v>
      </c>
      <c r="E74" s="89">
        <v>0.21660403935172701</v>
      </c>
      <c r="F74" s="89">
        <v>0.62162747731196799</v>
      </c>
      <c r="G74" s="89">
        <v>1.04130124768705</v>
      </c>
      <c r="H74" s="89">
        <v>0.62177107986064495</v>
      </c>
      <c r="I74" s="89">
        <v>0.20996163587778099</v>
      </c>
      <c r="J74" s="89">
        <v>262.579411797082</v>
      </c>
      <c r="K74" s="89"/>
      <c r="L74" s="89"/>
      <c r="M74" s="99" t="s">
        <v>156</v>
      </c>
      <c r="N74" s="99">
        <v>-1.2407344300000001</v>
      </c>
      <c r="O74" s="99">
        <v>-2.4474174199999998</v>
      </c>
      <c r="P74" s="99">
        <v>-3.3853639999999997E-2</v>
      </c>
      <c r="Q74" s="100" t="str">
        <f>CONCATENATE(TEXT(ROUND(N74, 2), "0.00"), " (", TEXT(ROUND(O74, 2), "0.00"), "-", TEXT(ROUND(P74, 2), "0.00"), ")")</f>
        <v>-1.24 (-2.45--0.03)</v>
      </c>
      <c r="R74" s="89"/>
      <c r="S74" s="99" t="s">
        <v>156</v>
      </c>
      <c r="T74" s="100">
        <v>0.28917243999999998</v>
      </c>
      <c r="U74" s="100">
        <v>8.6516739999999995E-2</v>
      </c>
      <c r="V74" s="100">
        <v>0.96671309999999999</v>
      </c>
      <c r="W74" s="104" t="str">
        <f>CONCATENATE(TEXT(ROUND(T74, 2), "0.00"), " (", TEXT(ROUND(U74, 2), "0.00"), ",", TEXT(ROUND(V74, 2), "0.00"), ")")</f>
        <v>0.29 (0.09,0.97)</v>
      </c>
      <c r="X74" s="89"/>
      <c r="Y74" s="89"/>
      <c r="Z74" s="91"/>
      <c r="AA74" s="91"/>
      <c r="AB74" s="89"/>
    </row>
    <row r="75" spans="1:28" x14ac:dyDescent="0.15">
      <c r="A75" s="89" t="s">
        <v>47</v>
      </c>
      <c r="B75" s="89" t="s">
        <v>195</v>
      </c>
      <c r="C75" s="89" t="s">
        <v>19</v>
      </c>
      <c r="D75" s="89">
        <v>304.91204411819302</v>
      </c>
      <c r="E75" s="89">
        <v>89.525342783103298</v>
      </c>
      <c r="F75" s="89">
        <v>259.50442063594102</v>
      </c>
      <c r="G75" s="89">
        <v>790.90032762205203</v>
      </c>
      <c r="H75" s="89">
        <v>190.080586134014</v>
      </c>
      <c r="I75" s="89">
        <v>186.06628617092801</v>
      </c>
      <c r="J75" s="89">
        <v>262.579411797082</v>
      </c>
      <c r="K75" s="89"/>
      <c r="L75" s="89"/>
      <c r="M75" s="89" t="s">
        <v>144</v>
      </c>
      <c r="N75" s="89"/>
      <c r="O75" s="89"/>
      <c r="P75" s="89"/>
      <c r="Q75" s="91"/>
      <c r="R75" s="89" t="s">
        <v>146</v>
      </c>
      <c r="S75" s="89" t="s">
        <v>144</v>
      </c>
      <c r="T75" s="91"/>
      <c r="U75" s="91"/>
      <c r="V75" s="91"/>
      <c r="W75" s="91"/>
      <c r="X75" s="89" t="s">
        <v>146</v>
      </c>
      <c r="Y75" s="89"/>
      <c r="Z75" s="91"/>
      <c r="AA75" s="91"/>
      <c r="AB75" s="89"/>
    </row>
    <row r="76" spans="1:28" x14ac:dyDescent="0.15">
      <c r="A76" s="89" t="s">
        <v>47</v>
      </c>
      <c r="B76" s="89" t="s">
        <v>195</v>
      </c>
      <c r="C76" s="89" t="s">
        <v>20</v>
      </c>
      <c r="D76" s="89">
        <v>2.1970418930275502</v>
      </c>
      <c r="E76" s="89">
        <v>0.77027962351297596</v>
      </c>
      <c r="F76" s="89">
        <v>2.00197198923841</v>
      </c>
      <c r="G76" s="89">
        <v>4.7463462359610498</v>
      </c>
      <c r="H76" s="89">
        <v>1.6434832598815801</v>
      </c>
      <c r="I76" s="89">
        <v>1.03446622261461</v>
      </c>
      <c r="J76" s="89">
        <v>262.579411797082</v>
      </c>
      <c r="K76" s="89"/>
      <c r="L76" s="89"/>
      <c r="M76" s="89"/>
      <c r="N76" s="89"/>
      <c r="O76" s="89"/>
      <c r="P76" s="89"/>
      <c r="Q76" s="89"/>
      <c r="R76" s="89"/>
      <c r="S76" s="89"/>
      <c r="T76" s="91"/>
      <c r="U76" s="91"/>
      <c r="V76" s="91"/>
      <c r="W76" s="91"/>
      <c r="X76" s="89"/>
      <c r="Y76" s="89"/>
      <c r="Z76" s="91"/>
      <c r="AA76" s="91"/>
      <c r="AB76" s="89"/>
    </row>
    <row r="77" spans="1:28" x14ac:dyDescent="0.15">
      <c r="A77" s="32" t="s">
        <v>48</v>
      </c>
      <c r="B77" s="32" t="s">
        <v>196</v>
      </c>
      <c r="C77" s="32" t="s">
        <v>38</v>
      </c>
      <c r="D77" s="32">
        <v>0.15526435794450399</v>
      </c>
      <c r="E77" s="32">
        <v>6.4394179856114994E-2</v>
      </c>
      <c r="F77" s="32">
        <v>0.15457521831742499</v>
      </c>
      <c r="G77" s="32">
        <v>0.25010303912642201</v>
      </c>
      <c r="H77" s="32">
        <v>0.154587313740805</v>
      </c>
      <c r="I77" s="32">
        <v>4.72983994868982E-2</v>
      </c>
      <c r="J77" s="32">
        <v>267.21890296523299</v>
      </c>
      <c r="K77" s="89"/>
      <c r="L77" s="89"/>
      <c r="M77" s="90" t="s">
        <v>138</v>
      </c>
      <c r="N77" s="89"/>
      <c r="O77" s="89"/>
      <c r="P77" s="89"/>
      <c r="Q77" s="89"/>
      <c r="R77" s="89"/>
      <c r="S77" s="90" t="s">
        <v>145</v>
      </c>
      <c r="T77" s="91"/>
      <c r="U77" s="91"/>
      <c r="V77" s="91"/>
      <c r="W77" s="91"/>
      <c r="X77" s="89"/>
      <c r="Y77" s="90" t="s">
        <v>183</v>
      </c>
      <c r="Z77" s="91"/>
      <c r="AA77" s="91"/>
      <c r="AB77" s="89" t="s">
        <v>146</v>
      </c>
    </row>
    <row r="78" spans="1:28" x14ac:dyDescent="0.15">
      <c r="A78" s="32" t="s">
        <v>48</v>
      </c>
      <c r="B78" s="32" t="s">
        <v>196</v>
      </c>
      <c r="C78" s="32" t="s">
        <v>39</v>
      </c>
      <c r="D78" s="32">
        <v>1.5700201313429401</v>
      </c>
      <c r="E78" s="32">
        <v>0.68155064468284599</v>
      </c>
      <c r="F78" s="32">
        <v>1.56953259159331</v>
      </c>
      <c r="G78" s="32">
        <v>2.46155836171681</v>
      </c>
      <c r="H78" s="32">
        <v>1.5696305692775001</v>
      </c>
      <c r="I78" s="32">
        <v>0.45328313946691401</v>
      </c>
      <c r="J78" s="32">
        <v>267.21890296523299</v>
      </c>
      <c r="K78" s="89"/>
      <c r="L78" s="89"/>
      <c r="M78" s="95"/>
      <c r="N78" s="92" t="s">
        <v>5</v>
      </c>
      <c r="O78" s="93">
        <v>2.5000000000000001E-2</v>
      </c>
      <c r="P78" s="93">
        <v>0.97499999999999998</v>
      </c>
      <c r="Q78" s="94" t="s">
        <v>132</v>
      </c>
      <c r="R78" s="89"/>
      <c r="S78" s="95"/>
      <c r="T78" s="96" t="s">
        <v>5</v>
      </c>
      <c r="U78" s="94">
        <v>2.5000000000000001E-2</v>
      </c>
      <c r="V78" s="94">
        <v>0.97499999999999998</v>
      </c>
      <c r="W78" s="94" t="s">
        <v>132</v>
      </c>
      <c r="X78" s="89"/>
      <c r="Y78" s="97"/>
      <c r="Z78" s="98" t="s">
        <v>136</v>
      </c>
      <c r="AA78" s="98" t="s">
        <v>135</v>
      </c>
      <c r="AB78" s="89"/>
    </row>
    <row r="79" spans="1:28" x14ac:dyDescent="0.15">
      <c r="A79" s="32" t="s">
        <v>48</v>
      </c>
      <c r="B79" s="32" t="s">
        <v>196</v>
      </c>
      <c r="C79" s="32" t="s">
        <v>12</v>
      </c>
      <c r="D79" s="32">
        <v>0.15819025257522901</v>
      </c>
      <c r="E79" s="32">
        <v>-0.29184924354988401</v>
      </c>
      <c r="F79" s="32">
        <v>0.15749800402307301</v>
      </c>
      <c r="G79" s="32">
        <v>0.61246280219830096</v>
      </c>
      <c r="H79" s="32">
        <v>0.15758951237805199</v>
      </c>
      <c r="I79" s="32">
        <v>0.22998062350715601</v>
      </c>
      <c r="J79" s="32">
        <v>267.21890296523299</v>
      </c>
      <c r="K79" s="89"/>
      <c r="L79" s="89"/>
      <c r="M79" s="89" t="s">
        <v>155</v>
      </c>
      <c r="N79" s="91" t="s">
        <v>139</v>
      </c>
      <c r="O79" s="89"/>
      <c r="P79" s="89"/>
      <c r="Q79" s="91" t="s">
        <v>139</v>
      </c>
      <c r="R79" s="89"/>
      <c r="S79" s="89" t="s">
        <v>155</v>
      </c>
      <c r="T79" s="91" t="s">
        <v>139</v>
      </c>
      <c r="U79" s="91"/>
      <c r="V79" s="91"/>
      <c r="W79" s="91" t="s">
        <v>139</v>
      </c>
      <c r="X79" s="89"/>
      <c r="Y79" s="99"/>
      <c r="Z79" s="100" t="s">
        <v>132</v>
      </c>
      <c r="AA79" s="100" t="s">
        <v>132</v>
      </c>
      <c r="AB79" s="89"/>
    </row>
    <row r="80" spans="1:28" x14ac:dyDescent="0.15">
      <c r="A80" s="32" t="s">
        <v>48</v>
      </c>
      <c r="B80" s="32" t="s">
        <v>196</v>
      </c>
      <c r="C80" s="32" t="s">
        <v>13</v>
      </c>
      <c r="D80" s="32">
        <v>-0.44859345642272502</v>
      </c>
      <c r="E80" s="32">
        <v>-1.07693095067505</v>
      </c>
      <c r="F80" s="32">
        <v>-0.45176479240404399</v>
      </c>
      <c r="G80" s="32">
        <v>0.19848866911662899</v>
      </c>
      <c r="H80" s="32">
        <v>-0.45153051407204903</v>
      </c>
      <c r="I80" s="32">
        <v>0.32404932997800601</v>
      </c>
      <c r="J80" s="32">
        <v>267.21890296523299</v>
      </c>
      <c r="K80" s="89"/>
      <c r="L80" s="89"/>
      <c r="M80" s="99" t="s">
        <v>156</v>
      </c>
      <c r="N80" s="99">
        <v>0.39980068000000002</v>
      </c>
      <c r="O80" s="99">
        <v>7.3134980000000002E-2</v>
      </c>
      <c r="P80" s="99">
        <v>0.73847750000000001</v>
      </c>
      <c r="Q80" s="104" t="str">
        <f>CONCATENATE(TEXT(ROUND(N80, 2), "0.00"), " (", TEXT(ROUND(O80, 2), "0.00"), ",", TEXT(ROUND(P80, 2), "0.00"), ")")</f>
        <v>0.40 (0.07,0.74)</v>
      </c>
      <c r="R80" s="89"/>
      <c r="S80" s="99" t="s">
        <v>156</v>
      </c>
      <c r="T80" s="100">
        <v>1.491527</v>
      </c>
      <c r="U80" s="100">
        <v>1.0758760000000001</v>
      </c>
      <c r="V80" s="100">
        <v>2.0927470000000001</v>
      </c>
      <c r="W80" s="104" t="str">
        <f>CONCATENATE(TEXT(ROUND(T80, 2), "0.00"), " (", TEXT(ROUND(U80, 2), "0.00"), ",", TEXT(ROUND(V80, 2), "0.00"), ")")</f>
        <v>1.49 (1.08,2.09)</v>
      </c>
      <c r="X80" s="89"/>
      <c r="Y80" s="89" t="s">
        <v>152</v>
      </c>
      <c r="Z80" s="105" t="s">
        <v>119</v>
      </c>
      <c r="AA80" s="91">
        <v>1</v>
      </c>
      <c r="AB80" s="89"/>
    </row>
    <row r="81" spans="1:28" x14ac:dyDescent="0.15">
      <c r="A81" s="32" t="s">
        <v>48</v>
      </c>
      <c r="B81" s="32" t="s">
        <v>196</v>
      </c>
      <c r="C81" s="32" t="s">
        <v>40</v>
      </c>
      <c r="D81" s="32">
        <v>0.40284459098255299</v>
      </c>
      <c r="E81" s="32">
        <v>0.19585328910300501</v>
      </c>
      <c r="F81" s="32">
        <v>0.40220942127238002</v>
      </c>
      <c r="G81" s="32">
        <v>0.61341207293660605</v>
      </c>
      <c r="H81" s="32">
        <v>0.40219929713580199</v>
      </c>
      <c r="I81" s="32">
        <v>0.10634997253631601</v>
      </c>
      <c r="J81" s="32">
        <v>267.21890296523299</v>
      </c>
      <c r="K81" s="89"/>
      <c r="L81" s="89"/>
      <c r="M81" s="89" t="s">
        <v>144</v>
      </c>
      <c r="N81" s="89"/>
      <c r="O81" s="89"/>
      <c r="P81" s="89"/>
      <c r="Q81" s="89"/>
      <c r="R81" s="89" t="s">
        <v>146</v>
      </c>
      <c r="S81" s="89" t="s">
        <v>144</v>
      </c>
      <c r="T81" s="89"/>
      <c r="U81" s="89"/>
      <c r="V81" s="89"/>
      <c r="W81" s="89"/>
      <c r="X81" s="89" t="s">
        <v>146</v>
      </c>
      <c r="Y81" s="99" t="s">
        <v>91</v>
      </c>
      <c r="Z81" s="106" t="s">
        <v>119</v>
      </c>
      <c r="AA81" s="127" t="str">
        <f>W80</f>
        <v>1.49 (1.08,2.09)</v>
      </c>
      <c r="AB81" s="89"/>
    </row>
    <row r="82" spans="1:28" x14ac:dyDescent="0.15">
      <c r="A82" s="32" t="s">
        <v>48</v>
      </c>
      <c r="B82" s="32" t="s">
        <v>196</v>
      </c>
      <c r="C82" s="32" t="s">
        <v>14</v>
      </c>
      <c r="D82" s="32">
        <v>-0.22923355272257601</v>
      </c>
      <c r="E82" s="32">
        <v>-1.1198722008767901</v>
      </c>
      <c r="F82" s="32">
        <v>-0.224780895335604</v>
      </c>
      <c r="G82" s="32">
        <v>0.63607003455933198</v>
      </c>
      <c r="H82" s="32">
        <v>-0.224794182088908</v>
      </c>
      <c r="I82" s="32">
        <v>0.44691663289753197</v>
      </c>
      <c r="J82" s="32">
        <v>267.21890296523299</v>
      </c>
      <c r="K82" s="89"/>
      <c r="L82" s="89"/>
      <c r="M82" s="89"/>
      <c r="N82" s="89"/>
      <c r="O82" s="89"/>
      <c r="P82" s="89"/>
      <c r="Q82" s="89"/>
      <c r="R82" s="89"/>
      <c r="S82" s="89"/>
      <c r="T82" s="89"/>
      <c r="U82" s="89"/>
      <c r="V82" s="89"/>
      <c r="W82" s="89"/>
      <c r="X82" s="89"/>
      <c r="Y82" s="89"/>
      <c r="Z82" s="89"/>
      <c r="AA82" s="89"/>
      <c r="AB82" s="89"/>
    </row>
    <row r="83" spans="1:28" x14ac:dyDescent="0.15">
      <c r="A83" s="32" t="s">
        <v>48</v>
      </c>
      <c r="B83" s="32" t="s">
        <v>196</v>
      </c>
      <c r="C83" s="32" t="s">
        <v>45</v>
      </c>
      <c r="D83" s="32">
        <v>8.2301359329430401E-3</v>
      </c>
      <c r="E83" s="32">
        <v>-0.182121209878983</v>
      </c>
      <c r="F83" s="32">
        <v>8.1855538018359292E-3</v>
      </c>
      <c r="G83" s="32">
        <v>0.19886294125985901</v>
      </c>
      <c r="H83" s="32">
        <v>8.1951532185537308E-3</v>
      </c>
      <c r="I83" s="32">
        <v>9.7015193551468107E-2</v>
      </c>
      <c r="J83" s="32">
        <v>267.21890296523299</v>
      </c>
      <c r="K83" s="89"/>
      <c r="L83" s="89"/>
      <c r="M83" s="89"/>
      <c r="N83" s="89"/>
      <c r="O83" s="89"/>
      <c r="P83" s="89"/>
      <c r="Q83" s="89"/>
      <c r="R83" s="89"/>
      <c r="S83" s="89"/>
      <c r="T83" s="89"/>
      <c r="U83" s="89"/>
      <c r="V83" s="89"/>
      <c r="W83" s="89"/>
      <c r="X83" s="89"/>
      <c r="Y83" s="89"/>
      <c r="Z83" s="89"/>
      <c r="AA83" s="89"/>
      <c r="AB83" s="89"/>
    </row>
    <row r="84" spans="1:28" x14ac:dyDescent="0.15">
      <c r="A84" s="32" t="s">
        <v>48</v>
      </c>
      <c r="B84" s="32" t="s">
        <v>196</v>
      </c>
      <c r="C84" s="32" t="s">
        <v>19</v>
      </c>
      <c r="D84" s="32">
        <v>348.514084854408</v>
      </c>
      <c r="E84" s="32">
        <v>86.578523352633795</v>
      </c>
      <c r="F84" s="32">
        <v>282.47985576889403</v>
      </c>
      <c r="G84" s="32">
        <v>1008.70458764093</v>
      </c>
      <c r="H84" s="32">
        <v>190.73522078227199</v>
      </c>
      <c r="I84" s="32">
        <v>249.104644653462</v>
      </c>
      <c r="J84" s="32">
        <v>267.21890296523299</v>
      </c>
      <c r="K84" s="89"/>
      <c r="L84" s="89"/>
      <c r="M84" s="89"/>
      <c r="N84" s="89"/>
      <c r="O84" s="89"/>
      <c r="P84" s="89"/>
      <c r="Q84" s="89"/>
      <c r="R84" s="89"/>
      <c r="S84" s="89"/>
      <c r="T84" s="89"/>
      <c r="U84" s="89"/>
      <c r="V84" s="89"/>
      <c r="W84" s="89"/>
      <c r="X84" s="89"/>
      <c r="Y84" s="89"/>
      <c r="Z84" s="89"/>
      <c r="AA84" s="89"/>
      <c r="AB84" s="89"/>
    </row>
    <row r="85" spans="1:28" x14ac:dyDescent="0.15">
      <c r="A85" s="32" t="s">
        <v>48</v>
      </c>
      <c r="B85" s="32" t="s">
        <v>196</v>
      </c>
      <c r="C85" s="32" t="s">
        <v>20</v>
      </c>
      <c r="D85" s="32">
        <v>2.03969090409191</v>
      </c>
      <c r="E85" s="32">
        <v>0.68487425457073503</v>
      </c>
      <c r="F85" s="32">
        <v>1.8458336062171801</v>
      </c>
      <c r="G85" s="32">
        <v>4.5106072219998499</v>
      </c>
      <c r="H85" s="32">
        <v>1.4906750097410699</v>
      </c>
      <c r="I85" s="32">
        <v>0.99721478094472604</v>
      </c>
      <c r="J85" s="32">
        <v>267.21890296523299</v>
      </c>
      <c r="K85" s="89"/>
      <c r="L85" s="89"/>
      <c r="M85" s="89"/>
      <c r="N85" s="89"/>
      <c r="O85" s="89"/>
      <c r="P85" s="89"/>
      <c r="Q85" s="89"/>
      <c r="R85" s="89"/>
      <c r="S85" s="89"/>
      <c r="T85" s="89"/>
      <c r="U85" s="89"/>
      <c r="V85" s="89"/>
      <c r="W85" s="89"/>
      <c r="X85" s="89"/>
      <c r="Y85" s="89"/>
      <c r="Z85" s="89"/>
      <c r="AA85" s="89"/>
      <c r="AB85" s="89"/>
    </row>
    <row r="86" spans="1:28" x14ac:dyDescent="0.15">
      <c r="A86" s="32" t="s">
        <v>49</v>
      </c>
      <c r="B86" s="32" t="s">
        <v>197</v>
      </c>
      <c r="C86" s="32" t="s">
        <v>38</v>
      </c>
      <c r="D86" s="32">
        <v>0.13932828798321001</v>
      </c>
      <c r="E86" s="32">
        <v>5.3644896246010397E-2</v>
      </c>
      <c r="F86" s="32">
        <v>0.13932828798321001</v>
      </c>
      <c r="G86" s="32">
        <v>0.22501167972041</v>
      </c>
      <c r="H86" s="32">
        <v>0.13932828798321001</v>
      </c>
      <c r="I86" s="32">
        <v>4.3716819499266098E-2</v>
      </c>
      <c r="J86" s="32">
        <v>262.57612489703502</v>
      </c>
      <c r="K86" s="107"/>
      <c r="L86" s="107"/>
      <c r="M86" s="107"/>
      <c r="N86" s="107"/>
      <c r="O86" s="107"/>
      <c r="P86" s="107"/>
      <c r="Q86" s="107"/>
      <c r="R86" s="107"/>
      <c r="S86" s="107"/>
      <c r="T86" s="107"/>
      <c r="U86" s="107"/>
      <c r="V86" s="107"/>
      <c r="W86" s="107"/>
      <c r="X86" s="107"/>
      <c r="Y86" s="107"/>
      <c r="Z86" s="107"/>
      <c r="AA86" s="107"/>
      <c r="AB86" s="107"/>
    </row>
    <row r="87" spans="1:28" x14ac:dyDescent="0.15">
      <c r="A87" s="32" t="s">
        <v>49</v>
      </c>
      <c r="B87" s="32" t="s">
        <v>197</v>
      </c>
      <c r="C87" s="32" t="s">
        <v>39</v>
      </c>
      <c r="D87" s="32">
        <v>1.5899897618865899</v>
      </c>
      <c r="E87" s="32">
        <v>0.76655273715431105</v>
      </c>
      <c r="F87" s="32">
        <v>1.5899897618865899</v>
      </c>
      <c r="G87" s="32">
        <v>2.4134267866188601</v>
      </c>
      <c r="H87" s="32">
        <v>1.5899897618865899</v>
      </c>
      <c r="I87" s="32">
        <v>0.42012865094840701</v>
      </c>
      <c r="J87" s="32">
        <v>262.57612489703502</v>
      </c>
      <c r="K87" s="107"/>
      <c r="L87" s="107"/>
      <c r="M87" s="108" t="s">
        <v>53</v>
      </c>
      <c r="N87" s="107">
        <f>(J93-J94)/J93</f>
        <v>2.0551003553430543E-2</v>
      </c>
      <c r="O87" s="107"/>
      <c r="P87" s="107"/>
      <c r="Q87" s="107"/>
      <c r="R87" s="107"/>
      <c r="S87" s="107"/>
      <c r="T87" s="107"/>
      <c r="U87" s="107"/>
      <c r="V87" s="107"/>
      <c r="W87" s="107"/>
      <c r="X87" s="107"/>
      <c r="Y87" s="107"/>
      <c r="Z87" s="107"/>
      <c r="AA87" s="107"/>
      <c r="AB87" s="107"/>
    </row>
    <row r="88" spans="1:28" x14ac:dyDescent="0.15">
      <c r="A88" s="32" t="s">
        <v>49</v>
      </c>
      <c r="B88" s="32" t="s">
        <v>197</v>
      </c>
      <c r="C88" s="32" t="s">
        <v>12</v>
      </c>
      <c r="D88" s="32">
        <v>0.170708567565167</v>
      </c>
      <c r="E88" s="32">
        <v>-0.25585148723102202</v>
      </c>
      <c r="F88" s="32">
        <v>0.170708567565167</v>
      </c>
      <c r="G88" s="32">
        <v>0.59726862236135503</v>
      </c>
      <c r="H88" s="32">
        <v>0.170708567565167</v>
      </c>
      <c r="I88" s="32">
        <v>0.21763668014353299</v>
      </c>
      <c r="J88" s="32">
        <v>262.57612489703502</v>
      </c>
      <c r="K88" s="107"/>
      <c r="L88" s="107"/>
      <c r="M88" s="107"/>
      <c r="N88" s="107"/>
      <c r="O88" s="107"/>
      <c r="P88" s="107"/>
      <c r="Q88" s="107"/>
      <c r="R88" s="107"/>
      <c r="S88" s="107"/>
      <c r="T88" s="107"/>
      <c r="U88" s="107"/>
      <c r="V88" s="107"/>
      <c r="W88" s="107"/>
      <c r="X88" s="107"/>
      <c r="Y88" s="107"/>
      <c r="Z88" s="107"/>
      <c r="AA88" s="107"/>
      <c r="AB88" s="107"/>
    </row>
    <row r="89" spans="1:28" x14ac:dyDescent="0.15">
      <c r="A89" s="32" t="s">
        <v>49</v>
      </c>
      <c r="B89" s="32" t="s">
        <v>197</v>
      </c>
      <c r="C89" s="32" t="s">
        <v>13</v>
      </c>
      <c r="D89" s="32">
        <v>-0.74765615632708404</v>
      </c>
      <c r="E89" s="32">
        <v>-1.3097385162624</v>
      </c>
      <c r="F89" s="32">
        <v>-0.74765615632708404</v>
      </c>
      <c r="G89" s="32">
        <v>-0.18557379639176599</v>
      </c>
      <c r="H89" s="32">
        <v>-0.74765615632708404</v>
      </c>
      <c r="I89" s="32">
        <v>0.28678198393896698</v>
      </c>
      <c r="J89" s="32">
        <v>262.57612489703502</v>
      </c>
      <c r="K89" s="107"/>
      <c r="L89" s="107"/>
      <c r="M89" s="107"/>
      <c r="N89" s="107"/>
      <c r="O89" s="107"/>
      <c r="P89" s="107"/>
      <c r="Q89" s="107"/>
      <c r="R89" s="107"/>
      <c r="S89" s="107"/>
      <c r="T89" s="107"/>
      <c r="U89" s="107"/>
      <c r="V89" s="107"/>
      <c r="W89" s="107"/>
      <c r="X89" s="107"/>
      <c r="Y89" s="107"/>
      <c r="Z89" s="107"/>
      <c r="AA89" s="107"/>
      <c r="AB89" s="107"/>
    </row>
    <row r="90" spans="1:28" x14ac:dyDescent="0.15">
      <c r="A90" s="32" t="s">
        <v>49</v>
      </c>
      <c r="B90" s="32" t="s">
        <v>197</v>
      </c>
      <c r="C90" s="32" t="s">
        <v>40</v>
      </c>
      <c r="D90" s="32">
        <v>1.3652226828835801</v>
      </c>
      <c r="E90" s="32">
        <v>0.79278414000898001</v>
      </c>
      <c r="F90" s="32">
        <v>1.3652226828835801</v>
      </c>
      <c r="G90" s="32">
        <v>1.93766122575818</v>
      </c>
      <c r="H90" s="32">
        <v>1.3652226828835801</v>
      </c>
      <c r="I90" s="32">
        <v>0.29206584783695999</v>
      </c>
      <c r="J90" s="32">
        <v>262.57612489703502</v>
      </c>
      <c r="K90" s="107"/>
      <c r="L90" s="107"/>
      <c r="M90" s="107"/>
      <c r="N90" s="107"/>
      <c r="O90" s="107"/>
      <c r="P90" s="107"/>
      <c r="Q90" s="107"/>
      <c r="R90" s="107"/>
      <c r="S90" s="107"/>
      <c r="T90" s="107"/>
      <c r="U90" s="107"/>
      <c r="V90" s="107"/>
      <c r="W90" s="107"/>
      <c r="X90" s="107"/>
      <c r="Y90" s="107"/>
      <c r="Z90" s="107"/>
      <c r="AA90" s="107"/>
      <c r="AB90" s="107"/>
    </row>
    <row r="91" spans="1:28" x14ac:dyDescent="0.15">
      <c r="A91" s="32" t="s">
        <v>49</v>
      </c>
      <c r="B91" s="32" t="s">
        <v>197</v>
      </c>
      <c r="C91" s="32" t="s">
        <v>14</v>
      </c>
      <c r="D91" s="32">
        <v>-7.7188639182074095E-2</v>
      </c>
      <c r="E91" s="32">
        <v>-0.86975777086139305</v>
      </c>
      <c r="F91" s="32">
        <v>-7.7188639182074095E-2</v>
      </c>
      <c r="G91" s="32">
        <v>0.715380492497245</v>
      </c>
      <c r="H91" s="32">
        <v>-7.7188639182074095E-2</v>
      </c>
      <c r="I91" s="32">
        <v>0.40437943652587699</v>
      </c>
      <c r="J91" s="32">
        <v>262.57612489703502</v>
      </c>
      <c r="K91" s="107"/>
      <c r="L91" s="107"/>
      <c r="M91" s="107"/>
      <c r="N91" s="107"/>
      <c r="O91" s="107"/>
      <c r="P91" s="107"/>
      <c r="Q91" s="107"/>
      <c r="R91" s="107"/>
      <c r="S91" s="107"/>
      <c r="T91" s="107"/>
      <c r="U91" s="107"/>
      <c r="V91" s="107"/>
      <c r="W91" s="107"/>
      <c r="X91" s="107"/>
      <c r="Y91" s="107"/>
      <c r="Z91" s="107"/>
      <c r="AA91" s="107"/>
      <c r="AB91" s="107"/>
    </row>
    <row r="92" spans="1:28" x14ac:dyDescent="0.15">
      <c r="A92" s="32" t="s">
        <v>49</v>
      </c>
      <c r="B92" s="32" t="s">
        <v>197</v>
      </c>
      <c r="C92" s="32" t="s">
        <v>45</v>
      </c>
      <c r="D92" s="32">
        <v>0.17171546936669299</v>
      </c>
      <c r="E92" s="32">
        <v>-1.7146179562685899E-2</v>
      </c>
      <c r="F92" s="32">
        <v>0.17171546936669299</v>
      </c>
      <c r="G92" s="32">
        <v>0.36057711829607098</v>
      </c>
      <c r="H92" s="32">
        <v>0.17171546936669299</v>
      </c>
      <c r="I92" s="32">
        <v>9.6359754780748694E-2</v>
      </c>
      <c r="J92" s="32">
        <v>262.57612489703502</v>
      </c>
      <c r="K92" s="107"/>
      <c r="L92" s="107"/>
      <c r="M92" s="107"/>
      <c r="N92" s="107"/>
      <c r="O92" s="107"/>
      <c r="P92" s="107"/>
      <c r="Q92" s="107"/>
      <c r="R92" s="107"/>
      <c r="S92" s="107"/>
      <c r="T92" s="107"/>
      <c r="U92" s="107"/>
      <c r="V92" s="107"/>
      <c r="W92" s="107"/>
      <c r="X92" s="107"/>
      <c r="Y92" s="107"/>
      <c r="Z92" s="107"/>
      <c r="AA92" s="107"/>
      <c r="AB92" s="107"/>
    </row>
    <row r="93" spans="1:28" x14ac:dyDescent="0.15">
      <c r="A93" s="32" t="s">
        <v>49</v>
      </c>
      <c r="B93" s="32" t="s">
        <v>197</v>
      </c>
      <c r="C93" s="32" t="s">
        <v>50</v>
      </c>
      <c r="D93" s="32">
        <v>-0.26656182148815999</v>
      </c>
      <c r="E93" s="32">
        <v>-0.39812023942998498</v>
      </c>
      <c r="F93" s="32">
        <v>-0.26656182148815999</v>
      </c>
      <c r="G93" s="32">
        <v>-0.135003403546335</v>
      </c>
      <c r="H93" s="32">
        <v>-0.26656182148815999</v>
      </c>
      <c r="I93" s="32">
        <v>6.7122875205637103E-2</v>
      </c>
      <c r="J93" s="32">
        <v>262.57612489703502</v>
      </c>
      <c r="K93" s="107"/>
      <c r="L93" s="107"/>
      <c r="M93" s="108" t="s">
        <v>138</v>
      </c>
      <c r="N93" s="107"/>
      <c r="O93" s="107"/>
      <c r="P93" s="107"/>
      <c r="Q93" s="107"/>
      <c r="R93" s="107"/>
      <c r="S93" s="108" t="s">
        <v>145</v>
      </c>
      <c r="T93" s="107"/>
      <c r="U93" s="107"/>
      <c r="V93" s="107"/>
      <c r="W93" s="109"/>
      <c r="X93" s="107"/>
      <c r="Y93" s="108" t="s">
        <v>204</v>
      </c>
      <c r="Z93" s="107"/>
      <c r="AA93" s="107"/>
      <c r="AB93" s="107"/>
    </row>
    <row r="94" spans="1:28" x14ac:dyDescent="0.15">
      <c r="A94" s="107" t="s">
        <v>51</v>
      </c>
      <c r="B94" s="107" t="s">
        <v>198</v>
      </c>
      <c r="C94" s="107" t="s">
        <v>38</v>
      </c>
      <c r="D94" s="107">
        <v>0.156669446302628</v>
      </c>
      <c r="E94" s="107">
        <v>6.4843225988536299E-2</v>
      </c>
      <c r="F94" s="107">
        <v>0.15616052104311801</v>
      </c>
      <c r="G94" s="107">
        <v>0.25142288309338101</v>
      </c>
      <c r="H94" s="107">
        <v>0.156167487692491</v>
      </c>
      <c r="I94" s="107">
        <v>4.75299229806391E-2</v>
      </c>
      <c r="J94" s="107">
        <v>257.17992202123003</v>
      </c>
      <c r="K94" s="107"/>
      <c r="L94" s="107"/>
      <c r="M94" s="110"/>
      <c r="N94" s="110" t="s">
        <v>5</v>
      </c>
      <c r="O94" s="111">
        <v>2.5000000000000001E-2</v>
      </c>
      <c r="P94" s="111">
        <v>0.97499999999999998</v>
      </c>
      <c r="Q94" s="112" t="s">
        <v>132</v>
      </c>
      <c r="R94" s="107"/>
      <c r="S94" s="113"/>
      <c r="T94" s="114" t="s">
        <v>5</v>
      </c>
      <c r="U94" s="112">
        <v>2.5000000000000001E-2</v>
      </c>
      <c r="V94" s="112">
        <v>0.97499999999999998</v>
      </c>
      <c r="W94" s="112" t="s">
        <v>132</v>
      </c>
      <c r="X94" s="107"/>
      <c r="Y94" s="115"/>
      <c r="Z94" s="116" t="s">
        <v>161</v>
      </c>
      <c r="AA94" s="116" t="s">
        <v>162</v>
      </c>
      <c r="AB94" s="107"/>
    </row>
    <row r="95" spans="1:28" x14ac:dyDescent="0.15">
      <c r="A95" s="107" t="s">
        <v>51</v>
      </c>
      <c r="B95" s="107" t="s">
        <v>198</v>
      </c>
      <c r="C95" s="107" t="s">
        <v>39</v>
      </c>
      <c r="D95" s="107">
        <v>1.4630016022912</v>
      </c>
      <c r="E95" s="107">
        <v>0.55249765882615798</v>
      </c>
      <c r="F95" s="107">
        <v>1.46642444332663</v>
      </c>
      <c r="G95" s="107">
        <v>2.3540716696955801</v>
      </c>
      <c r="H95" s="107">
        <v>1.46644419209078</v>
      </c>
      <c r="I95" s="107">
        <v>0.45896147971763801</v>
      </c>
      <c r="J95" s="107">
        <v>257.17992202123003</v>
      </c>
      <c r="K95" s="107"/>
      <c r="L95" s="107"/>
      <c r="M95" s="115" t="s">
        <v>157</v>
      </c>
      <c r="N95" s="116" t="s">
        <v>139</v>
      </c>
      <c r="O95" s="115"/>
      <c r="P95" s="115"/>
      <c r="Q95" s="109"/>
      <c r="R95" s="107"/>
      <c r="S95" s="115" t="s">
        <v>157</v>
      </c>
      <c r="T95" s="109" t="s">
        <v>139</v>
      </c>
      <c r="U95" s="109"/>
      <c r="V95" s="109"/>
      <c r="W95" s="109">
        <v>1</v>
      </c>
      <c r="X95" s="107"/>
      <c r="Y95" s="117"/>
      <c r="Z95" s="118" t="s">
        <v>132</v>
      </c>
      <c r="AA95" s="118" t="s">
        <v>132</v>
      </c>
      <c r="AB95" s="107"/>
    </row>
    <row r="96" spans="1:28" x14ac:dyDescent="0.15">
      <c r="A96" s="107" t="s">
        <v>51</v>
      </c>
      <c r="B96" s="107" t="s">
        <v>198</v>
      </c>
      <c r="C96" s="107" t="s">
        <v>12</v>
      </c>
      <c r="D96" s="107">
        <v>0.13826461789646699</v>
      </c>
      <c r="E96" s="107">
        <v>-0.32593815388953001</v>
      </c>
      <c r="F96" s="107">
        <v>0.13874877090620799</v>
      </c>
      <c r="G96" s="107">
        <v>0.59978754601686302</v>
      </c>
      <c r="H96" s="107">
        <v>0.13877712134172801</v>
      </c>
      <c r="I96" s="107">
        <v>0.23572700825364301</v>
      </c>
      <c r="J96" s="107">
        <v>257.17992202123003</v>
      </c>
      <c r="K96" s="107"/>
      <c r="L96" s="107"/>
      <c r="M96" s="107" t="s">
        <v>158</v>
      </c>
      <c r="N96" s="107">
        <f>F100</f>
        <v>0.171821181130968</v>
      </c>
      <c r="O96" s="107">
        <f>E100</f>
        <v>-2.84194086556992E-2</v>
      </c>
      <c r="P96" s="107">
        <f>G100</f>
        <v>0.37425702595921301</v>
      </c>
      <c r="Q96" s="109" t="str">
        <f>CONCATENATE(TEXT(ROUND(N96, 2), "0.00"), " (", TEXT(ROUND(O96, 2), "0.00"), ",", TEXT(ROUND(P96, 2), "0.00"), ")")</f>
        <v>0.17 (-0.03,0.37)</v>
      </c>
      <c r="R96" s="107"/>
      <c r="S96" s="107" t="s">
        <v>158</v>
      </c>
      <c r="T96" s="109">
        <f t="shared" ref="T96:V97" si="6">EXP(N96)</f>
        <v>1.1874654729945693</v>
      </c>
      <c r="U96" s="109">
        <f t="shared" si="6"/>
        <v>0.97198062421487119</v>
      </c>
      <c r="V96" s="109">
        <f t="shared" si="6"/>
        <v>1.4539107952533494</v>
      </c>
      <c r="W96" s="119" t="str">
        <f>CONCATENATE(TEXT(ROUND(T96, 2), "0.00"), " (", TEXT(ROUND(U96, 2), "0.00"), "-", TEXT(ROUND(V96, 2), "0.00"), ")")</f>
        <v>1.19 (0.97-1.45)</v>
      </c>
      <c r="X96" s="107"/>
      <c r="Y96" s="120" t="s">
        <v>152</v>
      </c>
      <c r="Z96" s="109">
        <v>1</v>
      </c>
      <c r="AA96" s="109" t="str">
        <f>W97</f>
        <v>4.27 (2.25-8.75)</v>
      </c>
      <c r="AB96" s="107"/>
    </row>
    <row r="97" spans="1:28" x14ac:dyDescent="0.15">
      <c r="A97" s="107" t="s">
        <v>51</v>
      </c>
      <c r="B97" s="107" t="s">
        <v>198</v>
      </c>
      <c r="C97" s="107" t="s">
        <v>13</v>
      </c>
      <c r="D97" s="107">
        <v>-0.78014428503002398</v>
      </c>
      <c r="E97" s="107">
        <v>-1.4273796838450801</v>
      </c>
      <c r="F97" s="107">
        <v>-0.77931760941926997</v>
      </c>
      <c r="G97" s="107">
        <v>-0.13738403178219599</v>
      </c>
      <c r="H97" s="107">
        <v>-0.77923980010640503</v>
      </c>
      <c r="I97" s="107">
        <v>0.32792833458559001</v>
      </c>
      <c r="J97" s="107">
        <v>257.17992202123003</v>
      </c>
      <c r="K97" s="107"/>
      <c r="L97" s="107"/>
      <c r="M97" s="107" t="s">
        <v>159</v>
      </c>
      <c r="N97" s="107">
        <f>F98</f>
        <v>1.4515858077346599</v>
      </c>
      <c r="O97" s="107">
        <f>E98</f>
        <v>0.811006805401282</v>
      </c>
      <c r="P97" s="107">
        <f>G98</f>
        <v>2.16873807397831</v>
      </c>
      <c r="Q97" s="109" t="str">
        <f>CONCATENATE(TEXT(ROUND(N97, 2), "0.00"), " (", TEXT(ROUND(O97, 2), "0.00"), "-", TEXT(ROUND(P97, 2), "0.00"), ")")</f>
        <v>1.45 (0.81-2.17)</v>
      </c>
      <c r="R97" s="107"/>
      <c r="S97" s="107" t="s">
        <v>159</v>
      </c>
      <c r="T97" s="109">
        <f t="shared" si="6"/>
        <v>4.2698803583860787</v>
      </c>
      <c r="U97" s="109">
        <f t="shared" si="6"/>
        <v>2.2501723322654543</v>
      </c>
      <c r="V97" s="109">
        <f t="shared" si="6"/>
        <v>8.747238704868618</v>
      </c>
      <c r="W97" s="119" t="str">
        <f>CONCATENATE(TEXT(ROUND(T97, 2), "0.00"), " (", TEXT(ROUND(U97, 2), "0.00"), "-", TEXT(ROUND(V97, 2), "0.00"), ")")</f>
        <v>4.27 (2.25-8.75)</v>
      </c>
      <c r="X97" s="107"/>
      <c r="Y97" s="121" t="s">
        <v>91</v>
      </c>
      <c r="Z97" s="128" t="str">
        <f>W96</f>
        <v>1.19 (0.97-1.45)</v>
      </c>
      <c r="AA97" s="118" t="str">
        <f>W98</f>
        <v>3.83 (2.09-7.16)</v>
      </c>
      <c r="AB97" s="107"/>
    </row>
    <row r="98" spans="1:28" x14ac:dyDescent="0.15">
      <c r="A98" s="107" t="s">
        <v>51</v>
      </c>
      <c r="B98" s="107" t="s">
        <v>198</v>
      </c>
      <c r="C98" s="107" t="s">
        <v>40</v>
      </c>
      <c r="D98" s="107">
        <v>1.46118296896505</v>
      </c>
      <c r="E98" s="107">
        <v>0.811006805401282</v>
      </c>
      <c r="F98" s="107">
        <v>1.4515858077346599</v>
      </c>
      <c r="G98" s="107">
        <v>2.16873807397831</v>
      </c>
      <c r="H98" s="107">
        <v>1.4524063345903</v>
      </c>
      <c r="I98" s="107">
        <v>0.34438703519074798</v>
      </c>
      <c r="J98" s="107">
        <v>257.17992202123003</v>
      </c>
      <c r="K98" s="107"/>
      <c r="L98" s="107"/>
      <c r="M98" s="117" t="s">
        <v>160</v>
      </c>
      <c r="N98" s="117">
        <v>1.3425871</v>
      </c>
      <c r="O98" s="117">
        <v>0.73850559999999998</v>
      </c>
      <c r="P98" s="117">
        <v>1.9680493999999999</v>
      </c>
      <c r="Q98" s="118" t="str">
        <f>CONCATENATE(TEXT(ROUND(N98, 2), "0.00"), " (", TEXT(ROUND(O98, 2), "0.00"), "-", TEXT(ROUND(P98, 2), "0.00"), ")")</f>
        <v>1.34 (0.74-1.97)</v>
      </c>
      <c r="R98" s="107"/>
      <c r="S98" s="117" t="s">
        <v>160</v>
      </c>
      <c r="T98" s="118">
        <v>3.8289360000000001</v>
      </c>
      <c r="U98" s="118">
        <v>2.0928059999999999</v>
      </c>
      <c r="V98" s="118">
        <v>7.1567049999999997</v>
      </c>
      <c r="W98" s="122" t="str">
        <f>CONCATENATE(TEXT(ROUND(T98, 2), "0.00"), " (", TEXT(ROUND(U98, 2), "0.00"), "-", TEXT(ROUND(V98, 2), "0.00"), ")")</f>
        <v>3.83 (2.09-7.16)</v>
      </c>
      <c r="X98" s="107"/>
      <c r="Y98" s="107"/>
      <c r="Z98" s="109"/>
      <c r="AA98" s="109"/>
      <c r="AB98" s="107"/>
    </row>
    <row r="99" spans="1:28" x14ac:dyDescent="0.15">
      <c r="A99" s="107" t="s">
        <v>51</v>
      </c>
      <c r="B99" s="107" t="s">
        <v>198</v>
      </c>
      <c r="C99" s="107" t="s">
        <v>14</v>
      </c>
      <c r="D99" s="107">
        <v>-0.18383410375349499</v>
      </c>
      <c r="E99" s="107">
        <v>-1.0749785229103901</v>
      </c>
      <c r="F99" s="107">
        <v>-0.18007228237136699</v>
      </c>
      <c r="G99" s="107">
        <v>0.68585474344463004</v>
      </c>
      <c r="H99" s="107">
        <v>-0.180081947493443</v>
      </c>
      <c r="I99" s="107">
        <v>0.44831052061496002</v>
      </c>
      <c r="J99" s="107">
        <v>257.17992202123003</v>
      </c>
      <c r="K99" s="107"/>
      <c r="L99" s="107"/>
      <c r="M99" s="107" t="s">
        <v>144</v>
      </c>
      <c r="N99" s="107"/>
      <c r="O99" s="107"/>
      <c r="P99" s="107"/>
      <c r="Q99" s="109"/>
      <c r="R99" s="107" t="s">
        <v>146</v>
      </c>
      <c r="S99" s="107" t="s">
        <v>144</v>
      </c>
      <c r="T99" s="109"/>
      <c r="U99" s="109"/>
      <c r="V99" s="109"/>
      <c r="W99" s="109"/>
      <c r="X99" s="107" t="s">
        <v>146</v>
      </c>
      <c r="Y99" s="107"/>
      <c r="Z99" s="109"/>
      <c r="AA99" s="109"/>
      <c r="AB99" s="107" t="s">
        <v>146</v>
      </c>
    </row>
    <row r="100" spans="1:28" x14ac:dyDescent="0.15">
      <c r="A100" s="107" t="s">
        <v>51</v>
      </c>
      <c r="B100" s="107" t="s">
        <v>198</v>
      </c>
      <c r="C100" s="107" t="s">
        <v>45</v>
      </c>
      <c r="D100" s="107">
        <v>0.17209659019701401</v>
      </c>
      <c r="E100" s="107">
        <v>-2.84194086556992E-2</v>
      </c>
      <c r="F100" s="107">
        <v>0.171821181130968</v>
      </c>
      <c r="G100" s="107">
        <v>0.37425702595921301</v>
      </c>
      <c r="H100" s="107">
        <v>0.171846186955009</v>
      </c>
      <c r="I100" s="107">
        <v>0.10255460293457599</v>
      </c>
      <c r="J100" s="107">
        <v>257.17992202123003</v>
      </c>
      <c r="K100" s="107"/>
      <c r="L100" s="107"/>
      <c r="M100" s="107"/>
      <c r="N100" s="107"/>
      <c r="O100" s="107"/>
      <c r="P100" s="107"/>
      <c r="Q100" s="107"/>
      <c r="R100" s="107"/>
      <c r="S100" s="107"/>
      <c r="T100" s="109"/>
      <c r="U100" s="109"/>
      <c r="V100" s="109"/>
      <c r="W100" s="109"/>
      <c r="X100" s="107"/>
      <c r="Y100" s="107"/>
      <c r="Z100" s="109"/>
      <c r="AA100" s="109"/>
      <c r="AB100" s="107"/>
    </row>
    <row r="101" spans="1:28" x14ac:dyDescent="0.15">
      <c r="A101" s="107" t="s">
        <v>51</v>
      </c>
      <c r="B101" s="107" t="s">
        <v>198</v>
      </c>
      <c r="C101" s="107" t="s">
        <v>50</v>
      </c>
      <c r="D101" s="107">
        <v>-0.28714338635279302</v>
      </c>
      <c r="E101" s="107">
        <v>-0.44479152124638599</v>
      </c>
      <c r="F101" s="107">
        <v>-0.28550924488644802</v>
      </c>
      <c r="G101" s="107">
        <v>-0.13918002775551699</v>
      </c>
      <c r="H101" s="107">
        <v>-0.28562582122269498</v>
      </c>
      <c r="I101" s="107">
        <v>7.7609039575604902E-2</v>
      </c>
      <c r="J101" s="107">
        <v>257.17992202123003</v>
      </c>
      <c r="K101" s="107"/>
      <c r="L101" s="107"/>
      <c r="M101" s="108" t="s">
        <v>138</v>
      </c>
      <c r="N101" s="107"/>
      <c r="O101" s="107"/>
      <c r="P101" s="107"/>
      <c r="Q101" s="107"/>
      <c r="R101" s="107"/>
      <c r="S101" s="108" t="s">
        <v>145</v>
      </c>
      <c r="T101" s="109"/>
      <c r="U101" s="109"/>
      <c r="V101" s="109"/>
      <c r="W101" s="109"/>
      <c r="X101" s="107"/>
      <c r="Y101" s="108" t="s">
        <v>204</v>
      </c>
      <c r="Z101" s="109"/>
      <c r="AA101" s="109"/>
      <c r="AB101" s="107"/>
    </row>
    <row r="102" spans="1:28" x14ac:dyDescent="0.15">
      <c r="A102" s="107" t="s">
        <v>51</v>
      </c>
      <c r="B102" s="107" t="s">
        <v>198</v>
      </c>
      <c r="C102" s="107" t="s">
        <v>19</v>
      </c>
      <c r="D102" s="107">
        <v>588.707561071898</v>
      </c>
      <c r="E102" s="107">
        <v>58.950182157461199</v>
      </c>
      <c r="F102" s="107">
        <v>389.70062404203497</v>
      </c>
      <c r="G102" s="107">
        <v>2325.3713521411701</v>
      </c>
      <c r="H102" s="107">
        <v>158.829810467588</v>
      </c>
      <c r="I102" s="107">
        <v>662.76115560147605</v>
      </c>
      <c r="J102" s="107">
        <v>257.17992202123003</v>
      </c>
      <c r="K102" s="107"/>
      <c r="L102" s="107"/>
      <c r="M102" s="113"/>
      <c r="N102" s="110" t="s">
        <v>5</v>
      </c>
      <c r="O102" s="111">
        <v>2.5000000000000001E-2</v>
      </c>
      <c r="P102" s="111">
        <v>0.97499999999999998</v>
      </c>
      <c r="Q102" s="112" t="s">
        <v>132</v>
      </c>
      <c r="R102" s="107"/>
      <c r="S102" s="113"/>
      <c r="T102" s="114" t="s">
        <v>5</v>
      </c>
      <c r="U102" s="112">
        <v>2.5000000000000001E-2</v>
      </c>
      <c r="V102" s="112">
        <v>0.97499999999999998</v>
      </c>
      <c r="W102" s="112" t="s">
        <v>132</v>
      </c>
      <c r="X102" s="107"/>
      <c r="Y102" s="115"/>
      <c r="Z102" s="116" t="s">
        <v>161</v>
      </c>
      <c r="AA102" s="116" t="s">
        <v>162</v>
      </c>
      <c r="AB102" s="107"/>
    </row>
    <row r="103" spans="1:28" x14ac:dyDescent="0.15">
      <c r="A103" s="107" t="s">
        <v>51</v>
      </c>
      <c r="B103" s="107" t="s">
        <v>198</v>
      </c>
      <c r="C103" s="107" t="s">
        <v>20</v>
      </c>
      <c r="D103" s="107">
        <v>1.5216737437816501</v>
      </c>
      <c r="E103" s="107">
        <v>0.45980282475092499</v>
      </c>
      <c r="F103" s="107">
        <v>1.3261837744729399</v>
      </c>
      <c r="G103" s="107">
        <v>3.7327641306033099</v>
      </c>
      <c r="H103" s="107">
        <v>1.00232951754888</v>
      </c>
      <c r="I103" s="107">
        <v>0.86181538080797104</v>
      </c>
      <c r="J103" s="107">
        <v>257.17992202123003</v>
      </c>
      <c r="K103" s="107"/>
      <c r="L103" s="107"/>
      <c r="M103" s="107" t="s">
        <v>159</v>
      </c>
      <c r="N103" s="109" t="s">
        <v>139</v>
      </c>
      <c r="O103" s="107"/>
      <c r="P103" s="107"/>
      <c r="Q103" s="109" t="s">
        <v>139</v>
      </c>
      <c r="R103" s="107"/>
      <c r="S103" s="107" t="s">
        <v>159</v>
      </c>
      <c r="T103" s="109" t="s">
        <v>139</v>
      </c>
      <c r="U103" s="109"/>
      <c r="V103" s="109"/>
      <c r="W103" s="109" t="s">
        <v>139</v>
      </c>
      <c r="X103" s="107"/>
      <c r="Y103" s="117"/>
      <c r="Z103" s="118" t="s">
        <v>132</v>
      </c>
      <c r="AA103" s="118" t="s">
        <v>132</v>
      </c>
      <c r="AB103" s="107"/>
    </row>
    <row r="104" spans="1:28" x14ac:dyDescent="0.15">
      <c r="A104" s="32" t="s">
        <v>52</v>
      </c>
      <c r="B104" s="32" t="s">
        <v>196</v>
      </c>
      <c r="C104" s="32" t="s">
        <v>38</v>
      </c>
      <c r="D104" s="32">
        <v>0.155264248553354</v>
      </c>
      <c r="E104" s="32">
        <v>6.4394134059672897E-2</v>
      </c>
      <c r="F104" s="32">
        <v>0.15457512061898099</v>
      </c>
      <c r="G104" s="32">
        <v>0.250102797509346</v>
      </c>
      <c r="H104" s="32">
        <v>0.15458721528807401</v>
      </c>
      <c r="I104" s="32">
        <v>4.7298350285901299E-2</v>
      </c>
      <c r="J104" s="32">
        <v>267.21894972057203</v>
      </c>
      <c r="K104" s="107"/>
      <c r="L104" s="107"/>
      <c r="M104" s="117" t="s">
        <v>160</v>
      </c>
      <c r="N104" s="117">
        <v>-0.11567745</v>
      </c>
      <c r="O104" s="117">
        <v>-0.31868271999999997</v>
      </c>
      <c r="P104" s="117">
        <v>7.7334459999999994E-2</v>
      </c>
      <c r="Q104" s="122" t="str">
        <f>CONCATENATE(TEXT(ROUND(N104, 2), "0.00"), " (", TEXT(ROUND(O104, 2), "0.00"), "-", TEXT(ROUND(P104, 2), "0.00"), ")")</f>
        <v>-0.12 (-0.32-0.08)</v>
      </c>
      <c r="R104" s="107"/>
      <c r="S104" s="117" t="s">
        <v>160</v>
      </c>
      <c r="T104" s="118">
        <v>0.89076250000000001</v>
      </c>
      <c r="U104" s="118">
        <v>0.72710620000000004</v>
      </c>
      <c r="V104" s="118">
        <v>1.0804034</v>
      </c>
      <c r="W104" s="122" t="str">
        <f>CONCATENATE(TEXT(ROUND(T104, 2), "0.00"), " (", TEXT(ROUND(U104, 2), "0.00"), "-", TEXT(ROUND(V104, 2), "0.00"), ")")</f>
        <v>0.89 (0.73-1.08)</v>
      </c>
      <c r="X104" s="107"/>
      <c r="Y104" s="107" t="s">
        <v>152</v>
      </c>
      <c r="Z104" s="123" t="s">
        <v>119</v>
      </c>
      <c r="AA104" s="109">
        <v>1</v>
      </c>
      <c r="AB104" s="107"/>
    </row>
    <row r="105" spans="1:28" x14ac:dyDescent="0.15">
      <c r="A105" s="32" t="s">
        <v>52</v>
      </c>
      <c r="B105" s="32" t="s">
        <v>196</v>
      </c>
      <c r="C105" s="32" t="s">
        <v>39</v>
      </c>
      <c r="D105" s="32">
        <v>1.5700169933021799</v>
      </c>
      <c r="E105" s="32">
        <v>0.68154750126602204</v>
      </c>
      <c r="F105" s="32">
        <v>1.5695295081293801</v>
      </c>
      <c r="G105" s="32">
        <v>2.46155490872016</v>
      </c>
      <c r="H105" s="32">
        <v>1.56962748173195</v>
      </c>
      <c r="I105" s="32">
        <v>0.45328306832899901</v>
      </c>
      <c r="J105" s="32">
        <v>267.21894972057203</v>
      </c>
      <c r="K105" s="107"/>
      <c r="L105" s="107"/>
      <c r="M105" s="107" t="s">
        <v>144</v>
      </c>
      <c r="N105" s="107"/>
      <c r="O105" s="107"/>
      <c r="P105" s="107"/>
      <c r="Q105" s="107"/>
      <c r="R105" s="107" t="s">
        <v>146</v>
      </c>
      <c r="S105" s="107" t="s">
        <v>144</v>
      </c>
      <c r="T105" s="107"/>
      <c r="U105" s="107"/>
      <c r="V105" s="107"/>
      <c r="W105" s="107"/>
      <c r="X105" s="107" t="s">
        <v>146</v>
      </c>
      <c r="Y105" s="117" t="s">
        <v>91</v>
      </c>
      <c r="Z105" s="124" t="s">
        <v>119</v>
      </c>
      <c r="AA105" s="128" t="str">
        <f>W104</f>
        <v>0.89 (0.73-1.08)</v>
      </c>
      <c r="AB105" s="107"/>
    </row>
    <row r="106" spans="1:28" x14ac:dyDescent="0.15">
      <c r="A106" s="32" t="s">
        <v>52</v>
      </c>
      <c r="B106" s="32" t="s">
        <v>196</v>
      </c>
      <c r="C106" s="32" t="s">
        <v>12</v>
      </c>
      <c r="D106" s="32">
        <v>0.158188808325991</v>
      </c>
      <c r="E106" s="32">
        <v>-0.29185071256577799</v>
      </c>
      <c r="F106" s="32">
        <v>0.15749659353046699</v>
      </c>
      <c r="G106" s="32">
        <v>0.61246117941941303</v>
      </c>
      <c r="H106" s="32">
        <v>0.15758809830446499</v>
      </c>
      <c r="I106" s="32">
        <v>0.22998058369812799</v>
      </c>
      <c r="J106" s="32">
        <v>267.21894972057203</v>
      </c>
      <c r="K106" s="107"/>
      <c r="L106" s="107"/>
      <c r="M106" s="107"/>
      <c r="N106" s="107"/>
      <c r="O106" s="107"/>
      <c r="P106" s="107"/>
      <c r="Q106" s="107"/>
      <c r="R106" s="107"/>
      <c r="S106" s="107"/>
      <c r="T106" s="107"/>
      <c r="U106" s="107"/>
      <c r="V106" s="107"/>
      <c r="W106" s="107"/>
      <c r="X106" s="107"/>
      <c r="Y106" s="107"/>
      <c r="Z106" s="107"/>
      <c r="AA106" s="107"/>
      <c r="AB106" s="107"/>
    </row>
    <row r="107" spans="1:28" x14ac:dyDescent="0.15">
      <c r="A107" s="32" t="s">
        <v>52</v>
      </c>
      <c r="B107" s="32" t="s">
        <v>196</v>
      </c>
      <c r="C107" s="32" t="s">
        <v>13</v>
      </c>
      <c r="D107" s="32">
        <v>-0.44859340528693398</v>
      </c>
      <c r="E107" s="32">
        <v>-1.0769309281200801</v>
      </c>
      <c r="F107" s="32">
        <v>-0.45176472190641098</v>
      </c>
      <c r="G107" s="32">
        <v>0.19848863173303999</v>
      </c>
      <c r="H107" s="32">
        <v>-0.45153044786074298</v>
      </c>
      <c r="I107" s="32">
        <v>0.32404932223244698</v>
      </c>
      <c r="J107" s="32">
        <v>267.21894972057203</v>
      </c>
      <c r="K107" s="107"/>
      <c r="L107" s="107"/>
      <c r="M107" s="107"/>
      <c r="N107" s="107"/>
      <c r="O107" s="107"/>
      <c r="P107" s="107"/>
      <c r="Q107" s="107"/>
      <c r="R107" s="107"/>
      <c r="S107" s="107"/>
      <c r="T107" s="107"/>
      <c r="U107" s="107"/>
      <c r="V107" s="107"/>
      <c r="W107" s="107"/>
      <c r="X107" s="107"/>
      <c r="Y107" s="107"/>
      <c r="Z107" s="107"/>
      <c r="AA107" s="107"/>
      <c r="AB107" s="107" t="s">
        <v>146</v>
      </c>
    </row>
    <row r="108" spans="1:28" x14ac:dyDescent="0.15">
      <c r="A108" s="32" t="s">
        <v>52</v>
      </c>
      <c r="B108" s="32" t="s">
        <v>196</v>
      </c>
      <c r="C108" s="32" t="s">
        <v>40</v>
      </c>
      <c r="D108" s="32">
        <v>0.40284372785130301</v>
      </c>
      <c r="E108" s="32">
        <v>0.19585294523133401</v>
      </c>
      <c r="F108" s="32">
        <v>0.40220853283802799</v>
      </c>
      <c r="G108" s="32">
        <v>0.61341083920943495</v>
      </c>
      <c r="H108" s="32">
        <v>0.40219840974068299</v>
      </c>
      <c r="I108" s="32">
        <v>0.106349740839083</v>
      </c>
      <c r="J108" s="32">
        <v>267.21894972057203</v>
      </c>
      <c r="K108" s="107"/>
      <c r="L108" s="107"/>
      <c r="M108" s="107"/>
      <c r="N108" s="107"/>
      <c r="O108" s="107"/>
      <c r="P108" s="107"/>
      <c r="Q108" s="107"/>
      <c r="R108" s="107"/>
      <c r="S108" s="107"/>
      <c r="T108" s="107"/>
      <c r="U108" s="107"/>
      <c r="V108" s="107"/>
      <c r="W108" s="107"/>
      <c r="X108" s="107"/>
      <c r="Y108" s="107"/>
      <c r="Z108" s="107"/>
      <c r="AA108" s="107"/>
      <c r="AB108" s="107"/>
    </row>
    <row r="109" spans="1:28" x14ac:dyDescent="0.15">
      <c r="A109" s="32" t="s">
        <v>52</v>
      </c>
      <c r="B109" s="32" t="s">
        <v>196</v>
      </c>
      <c r="C109" s="32" t="s">
        <v>14</v>
      </c>
      <c r="D109" s="32">
        <v>-0.229235152637773</v>
      </c>
      <c r="E109" s="32">
        <v>-1.11987372588724</v>
      </c>
      <c r="F109" s="32">
        <v>-0.224782519356335</v>
      </c>
      <c r="G109" s="32">
        <v>0.63606852097135302</v>
      </c>
      <c r="H109" s="32">
        <v>-0.22479579852293</v>
      </c>
      <c r="I109" s="32">
        <v>0.446916650755809</v>
      </c>
      <c r="J109" s="32">
        <v>267.21894972057203</v>
      </c>
      <c r="K109" s="107"/>
      <c r="L109" s="107"/>
      <c r="M109" s="107"/>
      <c r="N109" s="107"/>
      <c r="O109" s="107"/>
      <c r="P109" s="107"/>
      <c r="Q109" s="107"/>
      <c r="R109" s="107"/>
      <c r="S109" s="107"/>
      <c r="T109" s="107"/>
      <c r="U109" s="107"/>
      <c r="V109" s="107"/>
      <c r="W109" s="107"/>
      <c r="X109" s="107"/>
      <c r="Y109" s="107"/>
      <c r="Z109" s="107"/>
      <c r="AA109" s="107"/>
      <c r="AB109" s="107"/>
    </row>
    <row r="110" spans="1:28" x14ac:dyDescent="0.15">
      <c r="A110" s="32" t="s">
        <v>52</v>
      </c>
      <c r="B110" s="32" t="s">
        <v>196</v>
      </c>
      <c r="C110" s="32" t="s">
        <v>45</v>
      </c>
      <c r="D110" s="32">
        <v>8.2298491610009895E-3</v>
      </c>
      <c r="E110" s="32">
        <v>-0.18212142324486599</v>
      </c>
      <c r="F110" s="32">
        <v>8.1852709225171995E-3</v>
      </c>
      <c r="G110" s="32">
        <v>0.19886255805543199</v>
      </c>
      <c r="H110" s="32">
        <v>8.1948699640303994E-3</v>
      </c>
      <c r="I110" s="32">
        <v>9.7015152090435097E-2</v>
      </c>
      <c r="J110" s="32">
        <v>267.21894972057203</v>
      </c>
      <c r="K110" s="107"/>
      <c r="L110" s="107"/>
      <c r="M110" s="107"/>
      <c r="N110" s="107"/>
      <c r="O110" s="107"/>
      <c r="P110" s="107"/>
      <c r="Q110" s="107"/>
      <c r="R110" s="107"/>
      <c r="S110" s="107"/>
      <c r="T110" s="107"/>
      <c r="U110" s="107"/>
      <c r="V110" s="107"/>
      <c r="W110" s="107"/>
      <c r="X110" s="107"/>
      <c r="Y110" s="107"/>
      <c r="Z110" s="107"/>
      <c r="AA110" s="107"/>
      <c r="AB110" s="107"/>
    </row>
    <row r="111" spans="1:28" x14ac:dyDescent="0.15">
      <c r="A111" s="32" t="s">
        <v>52</v>
      </c>
      <c r="B111" s="32" t="s">
        <v>196</v>
      </c>
      <c r="C111" s="32" t="s">
        <v>19</v>
      </c>
      <c r="D111" s="32">
        <v>348.49682048656501</v>
      </c>
      <c r="E111" s="32">
        <v>86.582830220220401</v>
      </c>
      <c r="F111" s="32">
        <v>282.47937785478399</v>
      </c>
      <c r="G111" s="32">
        <v>1008.55757484807</v>
      </c>
      <c r="H111" s="32">
        <v>190.747112495132</v>
      </c>
      <c r="I111" s="32">
        <v>249.05867493001901</v>
      </c>
      <c r="J111" s="32">
        <v>267.21894972057203</v>
      </c>
      <c r="K111" s="107"/>
      <c r="L111" s="107"/>
      <c r="M111" s="107"/>
      <c r="N111" s="107"/>
      <c r="O111" s="107"/>
      <c r="P111" s="107"/>
      <c r="Q111" s="107"/>
      <c r="R111" s="107"/>
      <c r="S111" s="125" t="s">
        <v>199</v>
      </c>
      <c r="T111" s="107"/>
      <c r="U111" s="107"/>
      <c r="V111" s="107"/>
      <c r="W111" s="107"/>
      <c r="X111" s="107"/>
      <c r="Y111" s="107"/>
      <c r="Z111" s="107"/>
      <c r="AA111" s="107"/>
      <c r="AB111" s="107"/>
    </row>
    <row r="112" spans="1:28" x14ac:dyDescent="0.15">
      <c r="A112" s="32" t="s">
        <v>52</v>
      </c>
      <c r="B112" s="32" t="s">
        <v>196</v>
      </c>
      <c r="C112" s="32" t="s">
        <v>20</v>
      </c>
      <c r="D112" s="32">
        <v>2.0396675831723599</v>
      </c>
      <c r="E112" s="32">
        <v>0.68495996932746706</v>
      </c>
      <c r="F112" s="32">
        <v>1.84583857283584</v>
      </c>
      <c r="G112" s="32">
        <v>4.5103226834127801</v>
      </c>
      <c r="H112" s="32">
        <v>1.49074011245021</v>
      </c>
      <c r="I112" s="32">
        <v>0.997113894073266</v>
      </c>
      <c r="J112" s="32">
        <v>267.21894972057203</v>
      </c>
      <c r="K112" s="107"/>
      <c r="L112" s="107"/>
      <c r="M112" s="107"/>
      <c r="N112" s="107"/>
      <c r="O112" s="107"/>
      <c r="P112" s="107"/>
      <c r="Q112" s="107"/>
      <c r="R112" s="107"/>
      <c r="S112" s="107" t="s">
        <v>60</v>
      </c>
      <c r="T112" s="107"/>
      <c r="U112" s="107"/>
      <c r="V112" s="107"/>
      <c r="W112" s="107"/>
      <c r="X112" s="107"/>
      <c r="Y112" s="107"/>
      <c r="Z112" s="107"/>
      <c r="AA112" s="107"/>
      <c r="AB112" s="107"/>
    </row>
    <row r="113" spans="11:28" x14ac:dyDescent="0.15">
      <c r="K113" s="107"/>
      <c r="L113" s="107"/>
      <c r="M113" s="107"/>
      <c r="N113" s="107"/>
      <c r="O113" s="107"/>
      <c r="P113" s="107"/>
      <c r="Q113" s="107"/>
      <c r="R113" s="107"/>
      <c r="S113" s="107" t="s">
        <v>61</v>
      </c>
      <c r="T113" s="107"/>
      <c r="U113" s="107"/>
      <c r="V113" s="107"/>
      <c r="W113" s="107"/>
      <c r="X113" s="107"/>
      <c r="Y113" s="107"/>
      <c r="Z113" s="107"/>
      <c r="AA113" s="107"/>
      <c r="AB113" s="107"/>
    </row>
    <row r="114" spans="11:28" x14ac:dyDescent="0.15">
      <c r="K114" s="107"/>
      <c r="L114" s="107"/>
      <c r="M114" s="107"/>
      <c r="N114" s="107"/>
      <c r="O114" s="107"/>
      <c r="P114" s="107"/>
      <c r="Q114" s="107"/>
      <c r="R114" s="107"/>
      <c r="S114" s="107" t="s">
        <v>62</v>
      </c>
      <c r="T114" s="107"/>
      <c r="U114" s="107"/>
      <c r="V114" s="107"/>
      <c r="W114" s="107"/>
      <c r="X114" s="107"/>
      <c r="Y114" s="107"/>
      <c r="Z114" s="107"/>
      <c r="AA114" s="107"/>
      <c r="AB114" s="107"/>
    </row>
    <row r="115" spans="11:28" x14ac:dyDescent="0.15">
      <c r="K115" s="107"/>
      <c r="L115" s="107"/>
      <c r="M115" s="107"/>
      <c r="N115" s="107"/>
      <c r="O115" s="107"/>
      <c r="P115" s="107"/>
      <c r="Q115" s="107"/>
      <c r="R115" s="107"/>
      <c r="S115" s="107"/>
      <c r="T115" s="107"/>
      <c r="U115" s="107"/>
      <c r="V115" s="107"/>
      <c r="W115" s="107"/>
      <c r="X115" s="107"/>
      <c r="Y115" s="107"/>
      <c r="Z115" s="107"/>
      <c r="AA115" s="107"/>
      <c r="AB115" s="107"/>
    </row>
    <row r="116" spans="11:28" x14ac:dyDescent="0.15">
      <c r="K116" s="107"/>
      <c r="L116" s="107"/>
      <c r="M116" s="107"/>
      <c r="N116" s="107"/>
      <c r="O116" s="107"/>
      <c r="P116" s="107"/>
      <c r="Q116" s="107"/>
      <c r="R116" s="107"/>
      <c r="S116" s="107"/>
      <c r="T116" s="107"/>
      <c r="U116" s="107"/>
      <c r="V116" s="107"/>
      <c r="W116" s="107"/>
      <c r="X116" s="107"/>
      <c r="Y116" s="107"/>
      <c r="Z116" s="107"/>
      <c r="AA116" s="107"/>
      <c r="AB116" s="107"/>
    </row>
    <row r="117" spans="11:28" x14ac:dyDescent="0.15">
      <c r="K117" s="107"/>
      <c r="L117" s="107"/>
      <c r="M117" s="107"/>
      <c r="N117" s="107"/>
      <c r="O117" s="107"/>
      <c r="P117" s="107"/>
      <c r="Q117" s="107"/>
      <c r="R117" s="107"/>
      <c r="S117" s="107"/>
      <c r="T117" s="107"/>
      <c r="U117" s="107"/>
      <c r="V117" s="107"/>
      <c r="W117" s="107"/>
      <c r="X117" s="107"/>
      <c r="Y117" s="107"/>
      <c r="Z117" s="107"/>
      <c r="AA117" s="107"/>
      <c r="AB117" s="107"/>
    </row>
    <row r="118" spans="11:28" x14ac:dyDescent="0.15">
      <c r="K118" s="107"/>
      <c r="L118" s="107"/>
      <c r="M118" s="107"/>
      <c r="N118" s="107"/>
      <c r="O118" s="107"/>
      <c r="P118" s="107"/>
      <c r="Q118" s="107"/>
      <c r="R118" s="107"/>
      <c r="S118" s="107"/>
      <c r="T118" s="107"/>
      <c r="U118" s="107"/>
      <c r="V118" s="107"/>
      <c r="W118" s="107"/>
      <c r="X118" s="107"/>
      <c r="Y118" s="107"/>
      <c r="Z118" s="107"/>
      <c r="AA118" s="107"/>
      <c r="AB118" s="107"/>
    </row>
    <row r="119" spans="11:28" x14ac:dyDescent="0.15">
      <c r="K119" s="107"/>
      <c r="L119" s="107"/>
      <c r="M119" s="107"/>
      <c r="N119" s="107"/>
      <c r="O119" s="107"/>
      <c r="P119" s="107"/>
      <c r="Q119" s="107"/>
      <c r="R119" s="107"/>
      <c r="S119" s="107"/>
      <c r="T119" s="107"/>
      <c r="U119" s="107"/>
      <c r="V119" s="107"/>
      <c r="W119" s="107"/>
      <c r="X119" s="107"/>
      <c r="Y119" s="107"/>
      <c r="Z119" s="107"/>
      <c r="AA119" s="107"/>
      <c r="AB119" s="107"/>
    </row>
    <row r="120" spans="11:28" x14ac:dyDescent="0.15">
      <c r="K120" s="107"/>
      <c r="L120" s="107"/>
      <c r="M120" s="107"/>
      <c r="N120" s="107"/>
      <c r="O120" s="107"/>
      <c r="P120" s="107"/>
      <c r="Q120" s="107"/>
      <c r="R120" s="107"/>
      <c r="S120" s="107"/>
      <c r="T120" s="107"/>
      <c r="U120" s="107"/>
      <c r="V120" s="107"/>
      <c r="W120" s="107"/>
      <c r="X120" s="107"/>
      <c r="Y120" s="107"/>
      <c r="Z120" s="107"/>
      <c r="AA120" s="107"/>
      <c r="AB120" s="107"/>
    </row>
    <row r="121" spans="11:28" x14ac:dyDescent="0.15">
      <c r="K121" s="107"/>
      <c r="L121" s="107"/>
      <c r="M121" s="107"/>
      <c r="N121" s="107"/>
      <c r="O121" s="107"/>
      <c r="P121" s="107"/>
      <c r="Q121" s="107"/>
      <c r="R121" s="107"/>
      <c r="S121" s="107"/>
      <c r="T121" s="107"/>
      <c r="U121" s="107"/>
      <c r="V121" s="107"/>
      <c r="W121" s="107"/>
      <c r="X121" s="107"/>
      <c r="Y121" s="107"/>
      <c r="Z121" s="107"/>
      <c r="AA121" s="107"/>
      <c r="AB121" s="107"/>
    </row>
  </sheetData>
  <pageMargins left="0.7" right="0.7" top="0.75" bottom="0.75" header="0.3" footer="0.3"/>
  <pageSetup orientation="portrait" horizontalDpi="0" verticalDpi="0"/>
  <drawing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CBD42-991D-9847-B00F-A8F7591C79D9}">
  <dimension ref="A1:AI72"/>
  <sheetViews>
    <sheetView workbookViewId="0">
      <selection activeCell="Y23" sqref="Y23"/>
    </sheetView>
  </sheetViews>
  <sheetFormatPr baseColWidth="10" defaultRowHeight="14" x14ac:dyDescent="0.15"/>
  <cols>
    <col min="1" max="16" width="10.83203125" style="9"/>
    <col min="17" max="17" width="0" style="9" hidden="1" customWidth="1"/>
    <col min="18" max="18" width="29.33203125" style="22" hidden="1" customWidth="1"/>
    <col min="19" max="19" width="8.83203125" style="9" hidden="1" customWidth="1"/>
    <col min="20" max="20" width="13.83203125" style="9" hidden="1" customWidth="1"/>
    <col min="21" max="21" width="8.83203125" style="9" hidden="1" customWidth="1"/>
    <col min="22" max="22" width="14.83203125" style="9" hidden="1" customWidth="1"/>
    <col min="23" max="23" width="8.83203125" style="9" hidden="1" customWidth="1"/>
    <col min="24" max="24" width="9.83203125" style="9" hidden="1" customWidth="1"/>
    <col min="25" max="26" width="10.83203125" style="9" customWidth="1"/>
    <col min="27" max="32" width="32.83203125" style="32" customWidth="1"/>
    <col min="33" max="34" width="28.83203125" style="9" bestFit="1" customWidth="1"/>
    <col min="35" max="35" width="28.6640625" style="9" bestFit="1" customWidth="1"/>
    <col min="36" max="16384" width="10.83203125" style="9"/>
  </cols>
  <sheetData>
    <row r="1" spans="1:35" x14ac:dyDescent="0.15">
      <c r="A1" s="18" t="s">
        <v>78</v>
      </c>
      <c r="R1" s="18" t="s">
        <v>82</v>
      </c>
      <c r="AA1" s="31" t="s">
        <v>170</v>
      </c>
      <c r="AF1" s="31" t="s">
        <v>176</v>
      </c>
    </row>
    <row r="2" spans="1:35" x14ac:dyDescent="0.15">
      <c r="A2" s="9" t="s">
        <v>2</v>
      </c>
      <c r="B2" s="9" t="s">
        <v>3</v>
      </c>
      <c r="C2" s="9" t="s">
        <v>4</v>
      </c>
      <c r="D2" s="9" t="s">
        <v>5</v>
      </c>
      <c r="E2" s="9" t="s">
        <v>6</v>
      </c>
      <c r="F2" s="9" t="s">
        <v>7</v>
      </c>
      <c r="G2" s="9" t="s">
        <v>8</v>
      </c>
      <c r="H2" s="9" t="s">
        <v>9</v>
      </c>
      <c r="J2" s="9" t="s">
        <v>2</v>
      </c>
      <c r="K2" s="9" t="s">
        <v>3</v>
      </c>
      <c r="L2" s="9" t="s">
        <v>4</v>
      </c>
      <c r="M2" s="9" t="s">
        <v>5</v>
      </c>
      <c r="N2" s="9" t="s">
        <v>6</v>
      </c>
      <c r="O2" s="9" t="s">
        <v>7</v>
      </c>
      <c r="P2" s="9" t="s">
        <v>8</v>
      </c>
      <c r="R2" s="26" t="s">
        <v>71</v>
      </c>
      <c r="S2" s="20" t="s">
        <v>3</v>
      </c>
      <c r="T2" s="20" t="s">
        <v>4</v>
      </c>
      <c r="U2" s="20" t="s">
        <v>5</v>
      </c>
      <c r="V2" s="20" t="s">
        <v>6</v>
      </c>
      <c r="W2" s="20" t="s">
        <v>7</v>
      </c>
      <c r="X2" s="20" t="s">
        <v>8</v>
      </c>
      <c r="AA2" s="33"/>
      <c r="AB2" s="34" t="s">
        <v>168</v>
      </c>
      <c r="AC2" s="34" t="s">
        <v>167</v>
      </c>
      <c r="AF2" s="33"/>
      <c r="AG2" s="34" t="s">
        <v>163</v>
      </c>
      <c r="AH2" s="34" t="s">
        <v>164</v>
      </c>
      <c r="AI2" s="34" t="s">
        <v>124</v>
      </c>
    </row>
    <row r="3" spans="1:35" ht="16" x14ac:dyDescent="0.2">
      <c r="A3" s="1" t="s">
        <v>12</v>
      </c>
      <c r="B3" s="1">
        <v>0.61884109355618599</v>
      </c>
      <c r="C3" s="1">
        <v>0.29329182822695998</v>
      </c>
      <c r="D3" s="1">
        <v>0.61810398375655595</v>
      </c>
      <c r="E3" s="1">
        <v>0.94862684742802805</v>
      </c>
      <c r="F3" s="1">
        <v>0.618113370745772</v>
      </c>
      <c r="G3" s="1">
        <v>0.167031586703557</v>
      </c>
      <c r="H3" s="1">
        <v>329.87965647219897</v>
      </c>
      <c r="J3" s="9" t="s">
        <v>12</v>
      </c>
      <c r="K3" s="9" t="str">
        <f>TEXT(ROUND(B3,2), "0.00")</f>
        <v>0.62</v>
      </c>
      <c r="L3" s="9" t="str">
        <f t="shared" ref="L3:N3" si="0">TEXT(ROUND(C3,2), "0.00")</f>
        <v>0.29</v>
      </c>
      <c r="M3" s="9" t="str">
        <f t="shared" si="0"/>
        <v>0.62</v>
      </c>
      <c r="N3" s="9" t="str">
        <f t="shared" si="0"/>
        <v>0.95</v>
      </c>
      <c r="O3" s="9" t="str">
        <f>TEXT(ROUND(F3,2), "0.00")</f>
        <v>0.62</v>
      </c>
      <c r="P3" s="9" t="str">
        <f>TEXT(ROUND(G3,3), "0.000")</f>
        <v>0.167</v>
      </c>
      <c r="R3" s="22" t="s">
        <v>12</v>
      </c>
      <c r="S3" s="9">
        <v>0.62</v>
      </c>
      <c r="T3" s="9">
        <v>0.28999999999999998</v>
      </c>
      <c r="U3" s="9">
        <v>0.62</v>
      </c>
      <c r="V3" s="9">
        <v>0.95</v>
      </c>
      <c r="W3" s="9">
        <v>0.62</v>
      </c>
      <c r="X3" s="9">
        <v>0.16700000000000001</v>
      </c>
      <c r="AA3" s="35"/>
      <c r="AB3" s="36" t="s">
        <v>191</v>
      </c>
      <c r="AC3" s="36" t="s">
        <v>191</v>
      </c>
      <c r="AF3" s="35"/>
      <c r="AG3" s="36" t="s">
        <v>132</v>
      </c>
      <c r="AH3" s="36" t="s">
        <v>132</v>
      </c>
      <c r="AI3" s="36" t="s">
        <v>132</v>
      </c>
    </row>
    <row r="4" spans="1:35" ht="16" x14ac:dyDescent="0.2">
      <c r="A4" s="1" t="s">
        <v>13</v>
      </c>
      <c r="B4" s="1">
        <v>0.60532096799655499</v>
      </c>
      <c r="C4" s="1">
        <v>0.27227053022069497</v>
      </c>
      <c r="D4" s="1">
        <v>0.60426064824570502</v>
      </c>
      <c r="E4" s="1">
        <v>0.94447670790079796</v>
      </c>
      <c r="F4" s="1">
        <v>0.60427704199895405</v>
      </c>
      <c r="G4" s="1">
        <v>0.17131753693203</v>
      </c>
      <c r="H4" s="1">
        <v>329.87965647219897</v>
      </c>
      <c r="J4" s="9" t="s">
        <v>13</v>
      </c>
      <c r="K4" s="9" t="str">
        <f t="shared" ref="K4:K9" si="1">TEXT(ROUND(B4,2), "0.00")</f>
        <v>0.61</v>
      </c>
      <c r="L4" s="9" t="str">
        <f t="shared" ref="L4:L9" si="2">TEXT(ROUND(C4,2), "0.00")</f>
        <v>0.27</v>
      </c>
      <c r="M4" s="9" t="str">
        <f t="shared" ref="M4:M9" si="3">TEXT(ROUND(D4,2), "0.00")</f>
        <v>0.60</v>
      </c>
      <c r="N4" s="9" t="str">
        <f t="shared" ref="N4:N9" si="4">TEXT(ROUND(E4,2), "0.00")</f>
        <v>0.94</v>
      </c>
      <c r="O4" s="9" t="str">
        <f t="shared" ref="O4:O9" si="5">TEXT(ROUND(F4,2), "0.00")</f>
        <v>0.60</v>
      </c>
      <c r="P4" s="9" t="str">
        <f t="shared" ref="P4:P9" si="6">TEXT(ROUND(G4,3), "0.000")</f>
        <v>0.171</v>
      </c>
      <c r="R4" s="22" t="s">
        <v>13</v>
      </c>
      <c r="S4" s="9">
        <v>0.61</v>
      </c>
      <c r="T4" s="9">
        <v>0.27</v>
      </c>
      <c r="U4" s="9">
        <v>0.6</v>
      </c>
      <c r="V4" s="9">
        <v>0.94</v>
      </c>
      <c r="W4" s="9">
        <v>0.6</v>
      </c>
      <c r="X4" s="9">
        <v>0.17100000000000001</v>
      </c>
      <c r="AA4" s="37" t="s">
        <v>12</v>
      </c>
      <c r="AB4" s="38" t="str">
        <f>CONCATENATE(M3, " (", L3, "–", N3, ")")</f>
        <v>0.62 (0.29–0.95)</v>
      </c>
      <c r="AC4" s="39" t="s">
        <v>119</v>
      </c>
      <c r="AF4" s="37" t="s">
        <v>12</v>
      </c>
      <c r="AG4" s="40" t="s">
        <v>119</v>
      </c>
      <c r="AH4" s="40" t="s">
        <v>119</v>
      </c>
      <c r="AI4" s="40" t="s">
        <v>119</v>
      </c>
    </row>
    <row r="5" spans="1:35" ht="16" x14ac:dyDescent="0.2">
      <c r="A5" s="1" t="s">
        <v>14</v>
      </c>
      <c r="B5" s="1">
        <v>-1.4430890464948001</v>
      </c>
      <c r="C5" s="1">
        <v>-2.73220031035456</v>
      </c>
      <c r="D5" s="1">
        <v>-1.4420701824006801</v>
      </c>
      <c r="E5" s="1">
        <v>-0.15980820442090199</v>
      </c>
      <c r="F5" s="1">
        <v>-1.4420746001617299</v>
      </c>
      <c r="G5" s="1">
        <v>0.65583811717305296</v>
      </c>
      <c r="H5" s="1">
        <v>329.87965647219897</v>
      </c>
      <c r="J5" s="9" t="s">
        <v>14</v>
      </c>
      <c r="K5" s="9" t="str">
        <f t="shared" si="1"/>
        <v>-1.44</v>
      </c>
      <c r="L5" s="9" t="str">
        <f t="shared" si="2"/>
        <v>-2.73</v>
      </c>
      <c r="M5" s="9" t="str">
        <f t="shared" si="3"/>
        <v>-1.44</v>
      </c>
      <c r="N5" s="9" t="str">
        <f t="shared" si="4"/>
        <v>-0.16</v>
      </c>
      <c r="O5" s="9" t="str">
        <f t="shared" si="5"/>
        <v>-1.44</v>
      </c>
      <c r="P5" s="9" t="str">
        <f t="shared" si="6"/>
        <v>0.656</v>
      </c>
      <c r="R5" s="22" t="s">
        <v>65</v>
      </c>
      <c r="S5" s="9">
        <v>-1.44</v>
      </c>
      <c r="T5" s="9">
        <v>-2.73</v>
      </c>
      <c r="U5" s="9">
        <v>-1.44</v>
      </c>
      <c r="V5" s="9">
        <v>-0.16</v>
      </c>
      <c r="W5" s="9">
        <v>-1.44</v>
      </c>
      <c r="X5" s="9">
        <v>0.65600000000000003</v>
      </c>
      <c r="AA5" s="37" t="s">
        <v>13</v>
      </c>
      <c r="AB5" s="38" t="str">
        <f>CONCATENATE(M4, " (", L4, "–", N4, ")")</f>
        <v>0.60 (0.27–0.94)</v>
      </c>
      <c r="AC5" s="39" t="s">
        <v>119</v>
      </c>
      <c r="AF5" s="37" t="s">
        <v>13</v>
      </c>
      <c r="AG5" s="39" t="s">
        <v>119</v>
      </c>
      <c r="AH5" s="39" t="s">
        <v>119</v>
      </c>
      <c r="AI5" s="39" t="s">
        <v>119</v>
      </c>
    </row>
    <row r="6" spans="1:35" ht="16" x14ac:dyDescent="0.2">
      <c r="A6" s="1" t="s">
        <v>15</v>
      </c>
      <c r="B6" s="1">
        <v>-0.47532327601791102</v>
      </c>
      <c r="C6" s="1">
        <v>-1.1574214435746799</v>
      </c>
      <c r="D6" s="1">
        <v>-0.47473554786038002</v>
      </c>
      <c r="E6" s="1">
        <v>0.20337518582563299</v>
      </c>
      <c r="F6" s="1">
        <v>-0.47474938708539399</v>
      </c>
      <c r="G6" s="1">
        <v>0.346884951166189</v>
      </c>
      <c r="H6" s="1">
        <v>329.87965647219897</v>
      </c>
      <c r="J6" s="9" t="s">
        <v>15</v>
      </c>
      <c r="K6" s="9" t="str">
        <f t="shared" si="1"/>
        <v>-0.48</v>
      </c>
      <c r="L6" s="9" t="str">
        <f t="shared" si="2"/>
        <v>-1.16</v>
      </c>
      <c r="M6" s="9" t="str">
        <f t="shared" si="3"/>
        <v>-0.47</v>
      </c>
      <c r="N6" s="9" t="str">
        <f t="shared" si="4"/>
        <v>0.20</v>
      </c>
      <c r="O6" s="9" t="str">
        <f t="shared" si="5"/>
        <v>-0.47</v>
      </c>
      <c r="P6" s="9" t="str">
        <f t="shared" si="6"/>
        <v>0.347</v>
      </c>
      <c r="R6" s="22" t="s">
        <v>70</v>
      </c>
      <c r="S6" s="9">
        <v>-0.48</v>
      </c>
      <c r="T6" s="9">
        <v>-1.1599999999999999</v>
      </c>
      <c r="U6" s="9">
        <v>-0.47</v>
      </c>
      <c r="V6" s="9">
        <v>0.2</v>
      </c>
      <c r="W6" s="9">
        <v>-0.47</v>
      </c>
      <c r="X6" s="9">
        <v>0.34699999999999998</v>
      </c>
      <c r="AA6" s="37" t="s">
        <v>65</v>
      </c>
      <c r="AB6" s="38" t="str">
        <f>CONCATENATE(M5, " (", L5, "–", N5, ")")</f>
        <v>-1.44 (-2.73–-0.16)</v>
      </c>
      <c r="AC6" s="38" t="str">
        <f>CONCATENATE(M13, " (", L13, "–", N13, ")")</f>
        <v>0.50 (-1.24–2.24)</v>
      </c>
      <c r="AF6" s="37" t="s">
        <v>65</v>
      </c>
      <c r="AG6" s="40" t="s">
        <v>119</v>
      </c>
      <c r="AH6" s="40" t="s">
        <v>119</v>
      </c>
      <c r="AI6" s="40" t="s">
        <v>119</v>
      </c>
    </row>
    <row r="7" spans="1:35" ht="16" x14ac:dyDescent="0.2">
      <c r="A7" s="1" t="s">
        <v>16</v>
      </c>
      <c r="B7" s="1">
        <v>1.6342748467531401</v>
      </c>
      <c r="C7" s="1">
        <v>0.14966247275245001</v>
      </c>
      <c r="D7" s="1">
        <v>1.6338097228744</v>
      </c>
      <c r="E7" s="1">
        <v>3.1215497907319301</v>
      </c>
      <c r="F7" s="1">
        <v>1.6338120177647999</v>
      </c>
      <c r="G7" s="1">
        <v>0.75770130297253602</v>
      </c>
      <c r="H7" s="1">
        <v>329.87965647219897</v>
      </c>
      <c r="J7" s="9" t="s">
        <v>16</v>
      </c>
      <c r="K7" s="9" t="str">
        <f t="shared" si="1"/>
        <v>1.63</v>
      </c>
      <c r="L7" s="9" t="str">
        <f t="shared" si="2"/>
        <v>0.15</v>
      </c>
      <c r="M7" s="9" t="str">
        <f t="shared" si="3"/>
        <v>1.63</v>
      </c>
      <c r="N7" s="9" t="str">
        <f t="shared" si="4"/>
        <v>3.12</v>
      </c>
      <c r="O7" s="9" t="str">
        <f t="shared" si="5"/>
        <v>1.63</v>
      </c>
      <c r="P7" s="9" t="str">
        <f t="shared" si="6"/>
        <v>0.758</v>
      </c>
      <c r="R7" s="22" t="s">
        <v>67</v>
      </c>
      <c r="S7" s="9">
        <v>1.63</v>
      </c>
      <c r="T7" s="9">
        <v>0.15</v>
      </c>
      <c r="U7" s="9">
        <v>1.63</v>
      </c>
      <c r="V7" s="9">
        <v>3.12</v>
      </c>
      <c r="W7" s="9">
        <v>1.63</v>
      </c>
      <c r="X7" s="9">
        <v>0.75800000000000001</v>
      </c>
      <c r="AA7" s="32" t="s">
        <v>165</v>
      </c>
      <c r="AB7" s="38" t="str">
        <f>CONCATENATE(M6, " (", L6, "–", N6, ")")</f>
        <v>-0.47 (-1.16–0.20)</v>
      </c>
      <c r="AC7" s="38" t="str">
        <f>CONCATENATE(M14, " (", L14, "–", N14, ")")</f>
        <v>-2.64 (-4.80–-0.48)</v>
      </c>
      <c r="AF7" s="32" t="s">
        <v>70</v>
      </c>
      <c r="AG7" s="39" t="s">
        <v>119</v>
      </c>
      <c r="AH7" s="39" t="s">
        <v>119</v>
      </c>
      <c r="AI7" s="39" t="s">
        <v>119</v>
      </c>
    </row>
    <row r="8" spans="1:35" ht="16" x14ac:dyDescent="0.2">
      <c r="A8" s="1" t="s">
        <v>19</v>
      </c>
      <c r="B8" s="1">
        <v>3468.4689758119598</v>
      </c>
      <c r="C8" s="1">
        <v>1235.12896633789</v>
      </c>
      <c r="D8" s="1">
        <v>3035.35316939416</v>
      </c>
      <c r="E8" s="1">
        <v>8292.7284207474895</v>
      </c>
      <c r="F8" s="1">
        <v>2356.0853235955901</v>
      </c>
      <c r="G8" s="1">
        <v>1856.7314607498099</v>
      </c>
      <c r="H8" s="1">
        <v>329.87965647219897</v>
      </c>
      <c r="J8" s="9" t="s">
        <v>19</v>
      </c>
      <c r="K8" s="9" t="str">
        <f t="shared" si="1"/>
        <v>3468.47</v>
      </c>
      <c r="L8" s="9" t="str">
        <f t="shared" si="2"/>
        <v>1235.13</v>
      </c>
      <c r="M8" s="9" t="str">
        <f t="shared" si="3"/>
        <v>3035.35</v>
      </c>
      <c r="N8" s="9" t="str">
        <f t="shared" si="4"/>
        <v>8292.73</v>
      </c>
      <c r="O8" s="9" t="str">
        <f t="shared" si="5"/>
        <v>2356.09</v>
      </c>
      <c r="P8" s="9" t="str">
        <f t="shared" si="6"/>
        <v>1856.731</v>
      </c>
      <c r="R8" s="22" t="s">
        <v>64</v>
      </c>
      <c r="S8" s="9">
        <v>3468.47</v>
      </c>
      <c r="T8" s="9">
        <v>1235.1300000000001</v>
      </c>
      <c r="U8" s="9">
        <v>3035.35</v>
      </c>
      <c r="V8" s="9">
        <v>8292.73</v>
      </c>
      <c r="W8" s="9">
        <v>2356.09</v>
      </c>
      <c r="X8" s="9">
        <v>1856.731</v>
      </c>
      <c r="AA8" s="37" t="s">
        <v>67</v>
      </c>
      <c r="AB8" s="38" t="str">
        <f>CONCATENATE(M7, " (", L7, "–", N7, ")")</f>
        <v>1.63 (0.15–3.12)</v>
      </c>
      <c r="AC8" s="40" t="s">
        <v>119</v>
      </c>
      <c r="AD8" s="9"/>
      <c r="AF8" s="32" t="s">
        <v>30</v>
      </c>
      <c r="AG8" s="39" t="str">
        <f>CONCATENATE(M18, " (", L18, "–", N18, ")")</f>
        <v>-0.36 (-0.68–-0.04)</v>
      </c>
      <c r="AH8" s="39" t="s">
        <v>119</v>
      </c>
      <c r="AI8" s="39" t="s">
        <v>119</v>
      </c>
    </row>
    <row r="9" spans="1:35" ht="16" x14ac:dyDescent="0.2">
      <c r="A9" s="1" t="s">
        <v>20</v>
      </c>
      <c r="B9" s="1">
        <v>1.0980550475850199</v>
      </c>
      <c r="C9" s="1">
        <v>0.63607989928046205</v>
      </c>
      <c r="D9" s="1">
        <v>1.06536389493488</v>
      </c>
      <c r="E9" s="1">
        <v>1.74827179198467</v>
      </c>
      <c r="F9" s="1">
        <v>1.00521352778506</v>
      </c>
      <c r="G9" s="1">
        <v>0.284543473080278</v>
      </c>
      <c r="H9" s="1">
        <v>329.87965647219897</v>
      </c>
      <c r="J9" s="9" t="s">
        <v>20</v>
      </c>
      <c r="K9" s="9" t="str">
        <f t="shared" si="1"/>
        <v>1.10</v>
      </c>
      <c r="L9" s="9" t="str">
        <f t="shared" si="2"/>
        <v>0.64</v>
      </c>
      <c r="M9" s="9" t="str">
        <f t="shared" si="3"/>
        <v>1.07</v>
      </c>
      <c r="N9" s="9" t="str">
        <f t="shared" si="4"/>
        <v>1.75</v>
      </c>
      <c r="O9" s="9" t="str">
        <f t="shared" si="5"/>
        <v>1.01</v>
      </c>
      <c r="P9" s="9" t="str">
        <f t="shared" si="6"/>
        <v>0.285</v>
      </c>
      <c r="R9" s="22" t="s">
        <v>20</v>
      </c>
      <c r="S9" s="9">
        <v>1.1000000000000001</v>
      </c>
      <c r="T9" s="9">
        <v>0.64</v>
      </c>
      <c r="U9" s="9">
        <v>1.07</v>
      </c>
      <c r="V9" s="9">
        <v>1.75</v>
      </c>
      <c r="W9" s="9">
        <v>1.01</v>
      </c>
      <c r="X9" s="9">
        <v>0.28499999999999998</v>
      </c>
      <c r="AA9" s="37" t="s">
        <v>129</v>
      </c>
      <c r="AB9" s="38" t="str">
        <f>CONCATENATE(M9, " (", L9, "–", N9, ")")</f>
        <v>1.07 (0.64–1.75)</v>
      </c>
      <c r="AC9" s="39" t="s">
        <v>119</v>
      </c>
      <c r="AF9" s="43" t="s">
        <v>134</v>
      </c>
      <c r="AG9" s="39" t="s">
        <v>119</v>
      </c>
      <c r="AH9" s="39" t="str">
        <f>CONCATENATE(M22, " (", L22, "–", N22, ")")</f>
        <v>-0.96 (-1.60–-0.32)</v>
      </c>
      <c r="AI9" s="39" t="s">
        <v>119</v>
      </c>
    </row>
    <row r="10" spans="1:35" ht="15" x14ac:dyDescent="0.15">
      <c r="J10" s="9" t="s">
        <v>9</v>
      </c>
      <c r="K10" s="9" t="str">
        <f>TEXT(ROUND(H3,2), "0.00")</f>
        <v>329.88</v>
      </c>
      <c r="R10" s="22" t="s">
        <v>9</v>
      </c>
      <c r="S10" s="9">
        <v>329.88</v>
      </c>
      <c r="AA10" s="37" t="s">
        <v>178</v>
      </c>
      <c r="AB10" s="38" t="str">
        <f>CONCATENATE(M8, " (", L8, "–", N8, ")")</f>
        <v>3035.35 (1235.13–8292.73)</v>
      </c>
      <c r="AC10" s="39" t="s">
        <v>119</v>
      </c>
      <c r="AE10" s="9"/>
      <c r="AF10" s="32" t="s">
        <v>131</v>
      </c>
      <c r="AG10" s="40" t="s">
        <v>119</v>
      </c>
      <c r="AH10" s="40" t="s">
        <v>119</v>
      </c>
      <c r="AI10" s="40" t="str">
        <f>CONCATENATE(M26, " (", L26, "–", N26, ")")</f>
        <v>-0.78 (-1.43–-0.14)</v>
      </c>
    </row>
    <row r="11" spans="1:35" ht="15" x14ac:dyDescent="0.15">
      <c r="AA11" s="41" t="s">
        <v>174</v>
      </c>
      <c r="AB11" s="36" t="str">
        <f>K10</f>
        <v>329.88</v>
      </c>
      <c r="AC11" s="36" t="str">
        <f>K15</f>
        <v>60.09</v>
      </c>
      <c r="AE11" s="9"/>
      <c r="AF11" s="37" t="s">
        <v>67</v>
      </c>
      <c r="AG11" s="39" t="s">
        <v>119</v>
      </c>
      <c r="AH11" s="39" t="s">
        <v>119</v>
      </c>
      <c r="AI11" s="39" t="s">
        <v>119</v>
      </c>
    </row>
    <row r="12" spans="1:35" ht="16" x14ac:dyDescent="0.2">
      <c r="R12" s="25" t="s">
        <v>72</v>
      </c>
      <c r="S12" s="21"/>
      <c r="T12" s="21"/>
      <c r="U12" s="21"/>
      <c r="V12" s="21"/>
      <c r="W12" s="21"/>
      <c r="X12" s="21"/>
      <c r="AA12" s="54" t="s">
        <v>192</v>
      </c>
      <c r="AB12" s="53"/>
      <c r="AC12" s="53"/>
      <c r="AF12" s="41" t="s">
        <v>133</v>
      </c>
      <c r="AG12" s="36" t="str">
        <f>K19</f>
        <v>339.01</v>
      </c>
      <c r="AH12" s="36" t="str">
        <f>K23</f>
        <v>312.70</v>
      </c>
      <c r="AI12" s="36" t="str">
        <f>K27</f>
        <v>313.10</v>
      </c>
    </row>
    <row r="13" spans="1:35" ht="15" x14ac:dyDescent="0.15">
      <c r="A13" s="148" t="s">
        <v>14</v>
      </c>
      <c r="B13" s="148">
        <v>0.50236620049138303</v>
      </c>
      <c r="C13" s="148">
        <v>-1.23545002347897</v>
      </c>
      <c r="D13" s="148">
        <v>0.50236620049138303</v>
      </c>
      <c r="E13" s="148">
        <v>2.2401824244617399</v>
      </c>
      <c r="F13" s="148">
        <v>0.50236620049138303</v>
      </c>
      <c r="G13" s="148">
        <v>0.88665722313166495</v>
      </c>
      <c r="H13" s="148">
        <v>60.086264782178098</v>
      </c>
      <c r="J13" s="9" t="s">
        <v>14</v>
      </c>
      <c r="K13" s="9" t="str">
        <f>TEXT(ROUND(B13,2), "0.00")</f>
        <v>0.50</v>
      </c>
      <c r="L13" s="9" t="str">
        <f t="shared" ref="L13" si="7">TEXT(ROUND(C13,2), "0.00")</f>
        <v>-1.24</v>
      </c>
      <c r="M13" s="9" t="str">
        <f t="shared" ref="M13" si="8">TEXT(ROUND(D13,2), "0.00")</f>
        <v>0.50</v>
      </c>
      <c r="N13" s="9" t="str">
        <f t="shared" ref="N13" si="9">TEXT(ROUND(E13,2), "0.00")</f>
        <v>2.24</v>
      </c>
      <c r="O13" s="9" t="str">
        <f>TEXT(ROUND(F13,2), "0.00")</f>
        <v>0.50</v>
      </c>
      <c r="P13" s="9" t="str">
        <f>TEXT(ROUND(G13,3), "0.000")</f>
        <v>0.887</v>
      </c>
      <c r="R13" s="22" t="s">
        <v>14</v>
      </c>
      <c r="S13" s="9">
        <v>0.13</v>
      </c>
      <c r="T13" s="9">
        <v>-0.44</v>
      </c>
      <c r="U13" s="9">
        <v>0.13</v>
      </c>
      <c r="V13" s="9">
        <v>0.7</v>
      </c>
      <c r="W13" s="9">
        <v>0.13</v>
      </c>
      <c r="X13" s="9">
        <v>0.28899999999999998</v>
      </c>
      <c r="AA13" s="149" t="s">
        <v>190</v>
      </c>
      <c r="AB13" s="149"/>
      <c r="AC13" s="149"/>
      <c r="AF13" s="32" t="s">
        <v>172</v>
      </c>
    </row>
    <row r="14" spans="1:35" x14ac:dyDescent="0.15">
      <c r="A14" s="148" t="s">
        <v>15</v>
      </c>
      <c r="B14" s="148">
        <v>-2.6370699832858202</v>
      </c>
      <c r="C14" s="148">
        <v>-4.7954199782484297</v>
      </c>
      <c r="D14" s="148">
        <v>-2.6370699832858202</v>
      </c>
      <c r="E14" s="148">
        <v>-0.478719988323207</v>
      </c>
      <c r="F14" s="148">
        <v>-2.6370699832858202</v>
      </c>
      <c r="G14" s="148">
        <v>1.1012192121831801</v>
      </c>
      <c r="H14" s="148">
        <v>60.086264782178098</v>
      </c>
      <c r="J14" s="9" t="s">
        <v>15</v>
      </c>
      <c r="K14" s="9" t="str">
        <f>TEXT(ROUND(B14,2), "0.00")</f>
        <v>-2.64</v>
      </c>
      <c r="L14" s="9" t="str">
        <f t="shared" ref="L14" si="10">TEXT(ROUND(C14,2), "0.00")</f>
        <v>-4.80</v>
      </c>
      <c r="M14" s="9" t="str">
        <f t="shared" ref="M14" si="11">TEXT(ROUND(D14,2), "0.00")</f>
        <v>-2.64</v>
      </c>
      <c r="N14" s="9" t="str">
        <f t="shared" ref="N14" si="12">TEXT(ROUND(E14,2), "0.00")</f>
        <v>-0.48</v>
      </c>
      <c r="O14" s="9" t="str">
        <f>TEXT(ROUND(F14,2), "0.00")</f>
        <v>-2.64</v>
      </c>
      <c r="P14" s="9" t="str">
        <f>TEXT(ROUND(G14,3), "0.000")</f>
        <v>1.101</v>
      </c>
      <c r="R14" s="22" t="s">
        <v>15</v>
      </c>
      <c r="S14" s="9">
        <v>-7.0000000000000007E-2</v>
      </c>
      <c r="T14" s="9">
        <v>-0.56999999999999995</v>
      </c>
      <c r="U14" s="9">
        <v>-7.0000000000000007E-2</v>
      </c>
      <c r="V14" s="9">
        <v>0.43</v>
      </c>
      <c r="W14" s="9">
        <v>-7.0000000000000007E-2</v>
      </c>
      <c r="X14" s="9">
        <v>0.25700000000000001</v>
      </c>
      <c r="AA14" s="37"/>
    </row>
    <row r="15" spans="1:35" x14ac:dyDescent="0.15">
      <c r="J15" s="9" t="s">
        <v>9</v>
      </c>
      <c r="K15" s="9" t="str">
        <f>TEXT(ROUND(H13,2), "0.00")</f>
        <v>60.09</v>
      </c>
      <c r="R15" s="22" t="s">
        <v>9</v>
      </c>
      <c r="S15" s="9">
        <v>392.16</v>
      </c>
      <c r="AA15" s="37"/>
    </row>
    <row r="16" spans="1:35" x14ac:dyDescent="0.15">
      <c r="AA16" s="9"/>
    </row>
    <row r="17" spans="1:35" x14ac:dyDescent="0.15">
      <c r="R17" s="30"/>
    </row>
    <row r="18" spans="1:35" ht="16" x14ac:dyDescent="0.2">
      <c r="A18" s="6" t="s">
        <v>30</v>
      </c>
      <c r="B18" s="6">
        <v>-0.35895579086729001</v>
      </c>
      <c r="C18" s="6">
        <v>-0.67912225653007796</v>
      </c>
      <c r="D18" s="6">
        <v>-0.358277337092963</v>
      </c>
      <c r="E18" s="6">
        <v>-4.2682055166595498E-2</v>
      </c>
      <c r="F18" s="6">
        <v>-0.358283713342121</v>
      </c>
      <c r="G18" s="6">
        <v>0.16223101679291199</v>
      </c>
      <c r="H18" s="6">
        <v>339.01173945267999</v>
      </c>
      <c r="J18" s="9" t="s">
        <v>30</v>
      </c>
      <c r="K18" s="9" t="str">
        <f>TEXT(ROUND(B18,2), "0.00")</f>
        <v>-0.36</v>
      </c>
      <c r="L18" s="9" t="str">
        <f t="shared" ref="L18" si="13">TEXT(ROUND(C18,2), "0.00")</f>
        <v>-0.68</v>
      </c>
      <c r="M18" s="9" t="str">
        <f t="shared" ref="M18" si="14">TEXT(ROUND(D18,2), "0.00")</f>
        <v>-0.36</v>
      </c>
      <c r="N18" s="9" t="str">
        <f t="shared" ref="N18" si="15">TEXT(ROUND(E18,2), "0.00")</f>
        <v>-0.04</v>
      </c>
      <c r="O18" s="9" t="str">
        <f>TEXT(ROUND(F18,2), "0.00")</f>
        <v>-0.36</v>
      </c>
      <c r="P18" s="9" t="str">
        <f>TEXT(ROUND(G18,3), "0.000")</f>
        <v>0.162</v>
      </c>
      <c r="R18" s="22" t="s">
        <v>30</v>
      </c>
      <c r="S18" s="9">
        <v>-0.36</v>
      </c>
      <c r="T18" s="9">
        <v>-0.68</v>
      </c>
      <c r="U18" s="9">
        <v>-0.36</v>
      </c>
      <c r="V18" s="9">
        <v>-0.04</v>
      </c>
      <c r="W18" s="9">
        <v>-0.36</v>
      </c>
      <c r="X18" s="9">
        <v>0.16200000000000001</v>
      </c>
      <c r="AG18" s="23"/>
      <c r="AH18" s="23"/>
      <c r="AI18" s="23"/>
    </row>
    <row r="19" spans="1:35" x14ac:dyDescent="0.15">
      <c r="J19" s="9" t="s">
        <v>9</v>
      </c>
      <c r="K19" s="9" t="str">
        <f>TEXT(ROUND(H18,2), "0.00")</f>
        <v>339.01</v>
      </c>
      <c r="R19" s="22" t="s">
        <v>9</v>
      </c>
      <c r="S19" s="9">
        <v>339.01</v>
      </c>
      <c r="AA19" s="9"/>
      <c r="AB19" s="9"/>
      <c r="AC19" s="9"/>
    </row>
    <row r="21" spans="1:35" x14ac:dyDescent="0.15">
      <c r="R21" s="25" t="s">
        <v>73</v>
      </c>
      <c r="S21" s="21"/>
      <c r="T21" s="21"/>
      <c r="U21" s="21"/>
      <c r="V21" s="21"/>
      <c r="W21" s="21"/>
      <c r="X21" s="21"/>
    </row>
    <row r="22" spans="1:35" ht="16" x14ac:dyDescent="0.2">
      <c r="A22" s="7" t="s">
        <v>33</v>
      </c>
      <c r="B22" s="7">
        <v>-0.95992959679204304</v>
      </c>
      <c r="C22" s="7">
        <v>-1.6038555668485199</v>
      </c>
      <c r="D22" s="7">
        <v>-0.95934027661659305</v>
      </c>
      <c r="E22" s="7">
        <v>-0.31938009373101001</v>
      </c>
      <c r="F22" s="7">
        <v>-0.95934413044534295</v>
      </c>
      <c r="G22" s="7">
        <v>0.32746991604070103</v>
      </c>
      <c r="H22" s="7">
        <v>312.70098542403099</v>
      </c>
      <c r="J22" s="9" t="s">
        <v>33</v>
      </c>
      <c r="K22" s="9" t="str">
        <f>TEXT(ROUND(B22,2), "0.00")</f>
        <v>-0.96</v>
      </c>
      <c r="L22" s="9" t="str">
        <f t="shared" ref="L22" si="16">TEXT(ROUND(C22,2), "0.00")</f>
        <v>-1.60</v>
      </c>
      <c r="M22" s="9" t="str">
        <f t="shared" ref="M22" si="17">TEXT(ROUND(D22,2), "0.00")</f>
        <v>-0.96</v>
      </c>
      <c r="N22" s="9" t="str">
        <f t="shared" ref="N22" si="18">TEXT(ROUND(E22,2), "0.00")</f>
        <v>-0.32</v>
      </c>
      <c r="O22" s="9" t="str">
        <f>TEXT(ROUND(F22,2), "0.00")</f>
        <v>-0.96</v>
      </c>
      <c r="P22" s="9" t="str">
        <f>TEXT(ROUND(G22,3), "0.000")</f>
        <v>0.327</v>
      </c>
      <c r="R22" s="22" t="s">
        <v>63</v>
      </c>
      <c r="S22" s="9">
        <v>-0.96</v>
      </c>
      <c r="T22" s="9">
        <v>-1.6</v>
      </c>
      <c r="U22" s="9">
        <v>-0.96</v>
      </c>
      <c r="V22" s="9">
        <v>-0.32</v>
      </c>
      <c r="W22" s="9">
        <v>-0.96</v>
      </c>
      <c r="X22" s="9">
        <v>0.32700000000000001</v>
      </c>
    </row>
    <row r="23" spans="1:35" x14ac:dyDescent="0.15">
      <c r="J23" s="9" t="s">
        <v>9</v>
      </c>
      <c r="K23" s="9" t="str">
        <f>TEXT(ROUND(H22,2), "0.00")</f>
        <v>312.70</v>
      </c>
      <c r="R23" s="22" t="s">
        <v>9</v>
      </c>
      <c r="S23" s="9">
        <v>312.7</v>
      </c>
    </row>
    <row r="25" spans="1:35" x14ac:dyDescent="0.15">
      <c r="R25" s="25" t="s">
        <v>74</v>
      </c>
      <c r="S25" s="21"/>
      <c r="T25" s="21"/>
      <c r="U25" s="21"/>
      <c r="V25" s="21"/>
      <c r="W25" s="21"/>
      <c r="X25" s="21"/>
    </row>
    <row r="26" spans="1:35" ht="16" x14ac:dyDescent="0.2">
      <c r="A26" s="8" t="s">
        <v>36</v>
      </c>
      <c r="B26" s="8">
        <v>-0.783324707577987</v>
      </c>
      <c r="C26" s="8">
        <v>-1.4309483251716599</v>
      </c>
      <c r="D26" s="8">
        <v>-0.78329386624606201</v>
      </c>
      <c r="E26" s="8">
        <v>-0.135876769671961</v>
      </c>
      <c r="F26" s="8">
        <v>-0.78329373563740201</v>
      </c>
      <c r="G26" s="8">
        <v>0.33022179931604401</v>
      </c>
      <c r="H26" s="8">
        <v>313.098889673249</v>
      </c>
      <c r="J26" s="9" t="s">
        <v>125</v>
      </c>
      <c r="K26" s="9" t="str">
        <f>TEXT(ROUND(B26,2), "0.00")</f>
        <v>-0.78</v>
      </c>
      <c r="L26" s="9" t="str">
        <f t="shared" ref="L26" si="19">TEXT(ROUND(C26,2), "0.00")</f>
        <v>-1.43</v>
      </c>
      <c r="M26" s="9" t="str">
        <f t="shared" ref="M26" si="20">TEXT(ROUND(D26,2), "0.00")</f>
        <v>-0.78</v>
      </c>
      <c r="N26" s="9" t="str">
        <f t="shared" ref="N26" si="21">TEXT(ROUND(E26,2), "0.00")</f>
        <v>-0.14</v>
      </c>
      <c r="O26" s="9" t="str">
        <f>TEXT(ROUND(F26,2), "0.00")</f>
        <v>-0.78</v>
      </c>
      <c r="P26" s="9" t="str">
        <f>TEXT(ROUND(G26,3), "0.000")</f>
        <v>0.330</v>
      </c>
      <c r="R26" s="22" t="s">
        <v>36</v>
      </c>
      <c r="S26" s="9">
        <v>-0.78</v>
      </c>
      <c r="T26" s="9">
        <v>-1.43</v>
      </c>
      <c r="U26" s="9">
        <v>-0.78</v>
      </c>
      <c r="V26" s="9">
        <v>-0.14000000000000001</v>
      </c>
      <c r="W26" s="9">
        <v>-0.78</v>
      </c>
      <c r="X26" s="9">
        <v>0.33</v>
      </c>
    </row>
    <row r="27" spans="1:35" x14ac:dyDescent="0.15">
      <c r="J27" s="9" t="s">
        <v>9</v>
      </c>
      <c r="K27" s="9" t="str">
        <f>TEXT(ROUND(H26,2), "0.00")</f>
        <v>313.10</v>
      </c>
      <c r="R27" s="24" t="s">
        <v>9</v>
      </c>
      <c r="S27" s="21">
        <v>313.10000000000002</v>
      </c>
      <c r="T27" s="21"/>
      <c r="U27" s="21"/>
      <c r="V27" s="21"/>
      <c r="W27" s="21"/>
      <c r="X27" s="21"/>
      <c r="AA27" s="9"/>
      <c r="AB27" s="9"/>
      <c r="AC27" s="9"/>
      <c r="AD27" s="9"/>
    </row>
    <row r="28" spans="1:35" x14ac:dyDescent="0.15">
      <c r="R28" s="22" t="s">
        <v>128</v>
      </c>
      <c r="AA28" s="9"/>
      <c r="AB28" s="9"/>
      <c r="AC28" s="9"/>
      <c r="AD28" s="9"/>
    </row>
    <row r="29" spans="1:35" x14ac:dyDescent="0.15">
      <c r="AA29" s="31" t="s">
        <v>175</v>
      </c>
    </row>
    <row r="30" spans="1:35" x14ac:dyDescent="0.15">
      <c r="R30" s="18" t="s">
        <v>83</v>
      </c>
      <c r="AA30" s="33"/>
      <c r="AB30" s="34" t="s">
        <v>130</v>
      </c>
      <c r="AC30" s="34" t="s">
        <v>130</v>
      </c>
      <c r="AD30" s="34" t="s">
        <v>130</v>
      </c>
    </row>
    <row r="31" spans="1:35" ht="15" x14ac:dyDescent="0.15">
      <c r="R31" s="19" t="s">
        <v>77</v>
      </c>
      <c r="S31" s="20" t="s">
        <v>3</v>
      </c>
      <c r="T31" s="20" t="s">
        <v>4</v>
      </c>
      <c r="U31" s="20" t="s">
        <v>5</v>
      </c>
      <c r="V31" s="20" t="s">
        <v>6</v>
      </c>
      <c r="W31" s="20" t="s">
        <v>7</v>
      </c>
      <c r="X31" s="20" t="s">
        <v>8</v>
      </c>
      <c r="AA31" s="35"/>
      <c r="AB31" s="36" t="s">
        <v>191</v>
      </c>
      <c r="AC31" s="36" t="s">
        <v>191</v>
      </c>
      <c r="AD31" s="36" t="s">
        <v>191</v>
      </c>
    </row>
    <row r="32" spans="1:35" ht="16" x14ac:dyDescent="0.2">
      <c r="A32" s="3" t="s">
        <v>38</v>
      </c>
      <c r="B32" s="3">
        <v>0.174193103965461</v>
      </c>
      <c r="C32" s="3">
        <v>8.0298588978184204E-2</v>
      </c>
      <c r="D32" s="3">
        <v>0.17317762783073801</v>
      </c>
      <c r="E32" s="3">
        <v>0.27394774152562601</v>
      </c>
      <c r="F32" s="3">
        <v>0.17319953773768501</v>
      </c>
      <c r="G32" s="3">
        <v>4.9283338420550798E-2</v>
      </c>
      <c r="H32" s="3">
        <v>262.47563510341502</v>
      </c>
      <c r="J32" s="9" t="s">
        <v>38</v>
      </c>
      <c r="K32" s="9" t="str">
        <f>TEXT(ROUND(B32,2), "0.00")</f>
        <v>0.17</v>
      </c>
      <c r="L32" s="9" t="str">
        <f t="shared" ref="L32" si="22">TEXT(ROUND(C32,2), "0.00")</f>
        <v>0.08</v>
      </c>
      <c r="M32" s="9" t="str">
        <f t="shared" ref="M32" si="23">TEXT(ROUND(D32,2), "0.00")</f>
        <v>0.17</v>
      </c>
      <c r="N32" s="9" t="str">
        <f t="shared" ref="N32" si="24">TEXT(ROUND(E32,2), "0.00")</f>
        <v>0.27</v>
      </c>
      <c r="O32" s="9" t="str">
        <f>TEXT(ROUND(F32,2), "0.00")</f>
        <v>0.17</v>
      </c>
      <c r="P32" s="9" t="str">
        <f>TEXT(ROUND(G32,3), "0.000")</f>
        <v>0.049</v>
      </c>
      <c r="R32" s="22" t="s">
        <v>38</v>
      </c>
      <c r="S32" s="9">
        <v>0.17</v>
      </c>
      <c r="T32" s="9">
        <v>0.08</v>
      </c>
      <c r="U32" s="9">
        <v>0.17</v>
      </c>
      <c r="V32" s="9">
        <v>0.27</v>
      </c>
      <c r="W32" s="9">
        <v>0.17</v>
      </c>
      <c r="X32" s="9">
        <v>4.9000000000000002E-2</v>
      </c>
      <c r="AA32" s="37" t="s">
        <v>38</v>
      </c>
      <c r="AB32" s="38" t="str">
        <f t="shared" ref="AB32:AB38" si="25">CONCATENATE(M32, " (", L32, "–", N32, ")")</f>
        <v>0.17 (0.08–0.27)</v>
      </c>
      <c r="AC32" s="39" t="str">
        <f t="shared" ref="AC32:AC37" si="26">CONCATENATE(M45, " (", L45, "–", N45, ")")</f>
        <v>0.17 (0.08–0.27)</v>
      </c>
      <c r="AD32" s="39" t="str">
        <f t="shared" ref="AD32:AD37" si="27">CONCATENATE(M58, " (", L58, "–", N58, ")")</f>
        <v>0.16 (0.06–0.25)</v>
      </c>
    </row>
    <row r="33" spans="1:30" ht="16" x14ac:dyDescent="0.2">
      <c r="A33" s="3" t="s">
        <v>39</v>
      </c>
      <c r="B33" s="3">
        <v>1.6949231918661201</v>
      </c>
      <c r="C33" s="3">
        <v>0.78464177145751202</v>
      </c>
      <c r="D33" s="3">
        <v>1.6943443843506301</v>
      </c>
      <c r="E33" s="3">
        <v>2.6089019483531302</v>
      </c>
      <c r="F33" s="3">
        <v>1.69449493150965</v>
      </c>
      <c r="G33" s="3">
        <v>0.46444210041316902</v>
      </c>
      <c r="H33" s="3">
        <v>262.47563510341502</v>
      </c>
      <c r="J33" s="9" t="s">
        <v>39</v>
      </c>
      <c r="K33" s="9" t="str">
        <f t="shared" ref="K33:K37" si="28">TEXT(ROUND(B33,2), "0.00")</f>
        <v>1.69</v>
      </c>
      <c r="L33" s="9" t="str">
        <f t="shared" ref="L33:L37" si="29">TEXT(ROUND(C33,2), "0.00")</f>
        <v>0.78</v>
      </c>
      <c r="M33" s="9" t="str">
        <f t="shared" ref="M33:M37" si="30">TEXT(ROUND(D33,2), "0.00")</f>
        <v>1.69</v>
      </c>
      <c r="N33" s="9" t="str">
        <f t="shared" ref="N33:N37" si="31">TEXT(ROUND(E33,2), "0.00")</f>
        <v>2.61</v>
      </c>
      <c r="O33" s="9" t="str">
        <f t="shared" ref="O33:O37" si="32">TEXT(ROUND(F33,2), "0.00")</f>
        <v>1.69</v>
      </c>
      <c r="P33" s="9" t="str">
        <f t="shared" ref="P33:P37" si="33">TEXT(ROUND(G33,3), "0.000")</f>
        <v>0.464</v>
      </c>
      <c r="R33" s="22" t="s">
        <v>39</v>
      </c>
      <c r="S33" s="9">
        <v>1.71</v>
      </c>
      <c r="T33" s="9">
        <v>0.82</v>
      </c>
      <c r="U33" s="9">
        <v>1.71</v>
      </c>
      <c r="V33" s="9">
        <v>2.61</v>
      </c>
      <c r="W33" s="9">
        <v>1.71</v>
      </c>
      <c r="X33" s="9">
        <v>0.45800000000000002</v>
      </c>
      <c r="AA33" s="37" t="s">
        <v>39</v>
      </c>
      <c r="AB33" s="38" t="str">
        <f t="shared" si="25"/>
        <v>1.69 (0.78–2.61)</v>
      </c>
      <c r="AC33" s="39" t="str">
        <f t="shared" si="26"/>
        <v>1.58 (0.68–2.49)</v>
      </c>
      <c r="AD33" s="39" t="str">
        <f t="shared" si="27"/>
        <v>1.47 (0.55–2.35)</v>
      </c>
    </row>
    <row r="34" spans="1:30" ht="16" x14ac:dyDescent="0.2">
      <c r="A34" s="3" t="s">
        <v>12</v>
      </c>
      <c r="B34" s="3">
        <v>0.15861223714241801</v>
      </c>
      <c r="C34" s="3">
        <v>-0.29133168260562498</v>
      </c>
      <c r="D34" s="3">
        <v>0.158109110098336</v>
      </c>
      <c r="E34" s="3">
        <v>0.61171322552005003</v>
      </c>
      <c r="F34" s="3">
        <v>0.15820469426173001</v>
      </c>
      <c r="G34" s="3">
        <v>0.22959669229833601</v>
      </c>
      <c r="H34" s="3">
        <v>262.47563510341502</v>
      </c>
      <c r="J34" s="9" t="s">
        <v>12</v>
      </c>
      <c r="K34" s="9" t="str">
        <f t="shared" si="28"/>
        <v>0.16</v>
      </c>
      <c r="L34" s="9" t="str">
        <f t="shared" si="29"/>
        <v>-0.29</v>
      </c>
      <c r="M34" s="9" t="str">
        <f t="shared" si="30"/>
        <v>0.16</v>
      </c>
      <c r="N34" s="9" t="str">
        <f t="shared" si="31"/>
        <v>0.61</v>
      </c>
      <c r="O34" s="9" t="str">
        <f t="shared" si="32"/>
        <v>0.16</v>
      </c>
      <c r="P34" s="9" t="str">
        <f t="shared" si="33"/>
        <v>0.230</v>
      </c>
      <c r="R34" s="22" t="s">
        <v>12</v>
      </c>
      <c r="S34" s="9">
        <v>0.09</v>
      </c>
      <c r="T34" s="9">
        <v>-0.35</v>
      </c>
      <c r="U34" s="9">
        <v>0.09</v>
      </c>
      <c r="V34" s="9">
        <v>0.54</v>
      </c>
      <c r="W34" s="9">
        <v>0.09</v>
      </c>
      <c r="X34" s="9">
        <v>0.22700000000000001</v>
      </c>
      <c r="AA34" s="37" t="s">
        <v>12</v>
      </c>
      <c r="AB34" s="38" t="str">
        <f t="shared" si="25"/>
        <v>0.16 (-0.29–0.61)</v>
      </c>
      <c r="AC34" s="39" t="str">
        <f t="shared" si="26"/>
        <v>0.12 (-0.33–0.58)</v>
      </c>
      <c r="AD34" s="39" t="str">
        <f t="shared" si="27"/>
        <v>0.14 (-0.33–0.60)</v>
      </c>
    </row>
    <row r="35" spans="1:30" ht="16" x14ac:dyDescent="0.2">
      <c r="A35" s="3" t="s">
        <v>13</v>
      </c>
      <c r="B35" s="3">
        <v>-0.62638079589590301</v>
      </c>
      <c r="C35" s="3">
        <v>-1.25996509686147</v>
      </c>
      <c r="D35" s="3">
        <v>-0.627324105990406</v>
      </c>
      <c r="E35" s="3">
        <v>1.3101841330726101E-2</v>
      </c>
      <c r="F35" s="3">
        <v>-0.62714897889914201</v>
      </c>
      <c r="G35" s="3">
        <v>0.323189279120697</v>
      </c>
      <c r="H35" s="3">
        <v>262.47563510341502</v>
      </c>
      <c r="J35" s="9" t="s">
        <v>13</v>
      </c>
      <c r="K35" s="9" t="str">
        <f t="shared" si="28"/>
        <v>-0.63</v>
      </c>
      <c r="L35" s="9" t="str">
        <f t="shared" si="29"/>
        <v>-1.26</v>
      </c>
      <c r="M35" s="9" t="str">
        <f t="shared" si="30"/>
        <v>-0.63</v>
      </c>
      <c r="N35" s="9" t="str">
        <f t="shared" si="31"/>
        <v>0.01</v>
      </c>
      <c r="O35" s="9" t="str">
        <f t="shared" si="32"/>
        <v>-0.63</v>
      </c>
      <c r="P35" s="9" t="str">
        <f t="shared" si="33"/>
        <v>0.323</v>
      </c>
      <c r="R35" s="22" t="s">
        <v>13</v>
      </c>
      <c r="S35" s="9">
        <v>-0.61</v>
      </c>
      <c r="T35" s="9">
        <v>-1.23</v>
      </c>
      <c r="U35" s="9">
        <v>-0.61</v>
      </c>
      <c r="V35" s="9">
        <v>0.01</v>
      </c>
      <c r="W35" s="9">
        <v>-0.61</v>
      </c>
      <c r="X35" s="9">
        <v>0.315</v>
      </c>
      <c r="AA35" s="37" t="s">
        <v>13</v>
      </c>
      <c r="AB35" s="38" t="str">
        <f t="shared" si="25"/>
        <v>-0.63 (-1.26–0.01)</v>
      </c>
      <c r="AC35" s="39" t="str">
        <f t="shared" si="26"/>
        <v>-0.49 (-1.13–0.17)</v>
      </c>
      <c r="AD35" s="39" t="str">
        <f t="shared" si="27"/>
        <v>-0.78 (-1.43–-0.14)</v>
      </c>
    </row>
    <row r="36" spans="1:30" ht="16" x14ac:dyDescent="0.2">
      <c r="A36" s="3" t="s">
        <v>40</v>
      </c>
      <c r="B36" s="3">
        <v>0.420099621293752</v>
      </c>
      <c r="C36" s="3">
        <v>0.19585814927741399</v>
      </c>
      <c r="D36" s="3">
        <v>0.41931045100458098</v>
      </c>
      <c r="E36" s="3">
        <v>0.64880237621534498</v>
      </c>
      <c r="F36" s="3">
        <v>0.419301992668626</v>
      </c>
      <c r="G36" s="3">
        <v>0.11532011202836299</v>
      </c>
      <c r="H36" s="3">
        <v>262.47563510341502</v>
      </c>
      <c r="J36" s="9" t="s">
        <v>40</v>
      </c>
      <c r="K36" s="9" t="str">
        <f t="shared" si="28"/>
        <v>0.42</v>
      </c>
      <c r="L36" s="9" t="str">
        <f t="shared" si="29"/>
        <v>0.20</v>
      </c>
      <c r="M36" s="9" t="str">
        <f t="shared" si="30"/>
        <v>0.42</v>
      </c>
      <c r="N36" s="9" t="str">
        <f t="shared" si="31"/>
        <v>0.65</v>
      </c>
      <c r="O36" s="9" t="str">
        <f t="shared" si="32"/>
        <v>0.42</v>
      </c>
      <c r="P36" s="9" t="str">
        <f t="shared" si="33"/>
        <v>0.115</v>
      </c>
      <c r="R36" s="22" t="s">
        <v>40</v>
      </c>
      <c r="S36" s="9">
        <v>0.43</v>
      </c>
      <c r="T36" s="9">
        <v>0.2</v>
      </c>
      <c r="U36" s="9">
        <v>0.43</v>
      </c>
      <c r="V36" s="9">
        <v>0.65</v>
      </c>
      <c r="W36" s="9">
        <v>0.43</v>
      </c>
      <c r="X36" s="9">
        <v>0.113</v>
      </c>
      <c r="AA36" s="37" t="s">
        <v>68</v>
      </c>
      <c r="AB36" s="38" t="str">
        <f t="shared" si="25"/>
        <v>0.42 (0.20–0.65)</v>
      </c>
      <c r="AC36" s="39" t="str">
        <f t="shared" si="26"/>
        <v>0.43 (0.21–0.67)</v>
      </c>
      <c r="AD36" s="39" t="str">
        <f t="shared" si="27"/>
        <v>1.45 (0.81–2.17)</v>
      </c>
    </row>
    <row r="37" spans="1:30" ht="16" x14ac:dyDescent="0.2">
      <c r="A37" s="3" t="s">
        <v>14</v>
      </c>
      <c r="B37" s="3">
        <v>-1.7441118148381001</v>
      </c>
      <c r="C37" s="3">
        <v>-3.17232173776932</v>
      </c>
      <c r="D37" s="3">
        <v>-1.7395703972860199</v>
      </c>
      <c r="E37" s="3">
        <v>-0.34241318328328801</v>
      </c>
      <c r="F37" s="3">
        <v>-1.7397684822958299</v>
      </c>
      <c r="G37" s="3">
        <v>0.72087711522486497</v>
      </c>
      <c r="H37" s="3">
        <v>262.47563510341502</v>
      </c>
      <c r="J37" s="9" t="s">
        <v>14</v>
      </c>
      <c r="K37" s="9" t="str">
        <f t="shared" si="28"/>
        <v>-1.74</v>
      </c>
      <c r="L37" s="9" t="str">
        <f t="shared" si="29"/>
        <v>-3.17</v>
      </c>
      <c r="M37" s="9" t="str">
        <f t="shared" si="30"/>
        <v>-1.74</v>
      </c>
      <c r="N37" s="9" t="str">
        <f t="shared" si="31"/>
        <v>-0.34</v>
      </c>
      <c r="O37" s="9" t="str">
        <f t="shared" si="32"/>
        <v>-1.74</v>
      </c>
      <c r="P37" s="9" t="str">
        <f t="shared" si="33"/>
        <v>0.721</v>
      </c>
      <c r="R37" s="22" t="s">
        <v>65</v>
      </c>
      <c r="S37" s="9">
        <v>-1.66</v>
      </c>
      <c r="T37" s="9">
        <v>-3.08</v>
      </c>
      <c r="U37" s="9">
        <v>-1.66</v>
      </c>
      <c r="V37" s="9">
        <v>-0.26</v>
      </c>
      <c r="W37" s="9">
        <v>-1.66</v>
      </c>
      <c r="X37" s="9">
        <v>0.71899999999999997</v>
      </c>
      <c r="AA37" s="32" t="s">
        <v>126</v>
      </c>
      <c r="AB37" s="38" t="str">
        <f t="shared" si="25"/>
        <v>-1.74 (-3.17–-0.34)</v>
      </c>
      <c r="AC37" s="39" t="str">
        <f t="shared" si="26"/>
        <v>-1.66 (-3.06–-0.29)</v>
      </c>
      <c r="AD37" s="39" t="str">
        <f t="shared" si="27"/>
        <v>-0.18 (-1.07–0.69)</v>
      </c>
    </row>
    <row r="38" spans="1:30" ht="16" x14ac:dyDescent="0.2">
      <c r="A38" s="3" t="s">
        <v>30</v>
      </c>
      <c r="B38" s="3">
        <v>-0.17567930735722101</v>
      </c>
      <c r="C38" s="3">
        <v>-0.69732606543619502</v>
      </c>
      <c r="D38" s="3">
        <v>-0.174866208841196</v>
      </c>
      <c r="E38" s="3">
        <v>0.34115986756252697</v>
      </c>
      <c r="F38" s="3">
        <v>-0.174921407614896</v>
      </c>
      <c r="G38" s="3">
        <v>0.26445444424668602</v>
      </c>
      <c r="H38" s="3">
        <v>262.47563510341502</v>
      </c>
      <c r="J38" s="9" t="s">
        <v>30</v>
      </c>
      <c r="K38" s="9" t="str">
        <f t="shared" ref="K38:O41" si="34">TEXT(ROUND(B38,2), "0.00")</f>
        <v>-0.18</v>
      </c>
      <c r="L38" s="9" t="str">
        <f t="shared" si="34"/>
        <v>-0.70</v>
      </c>
      <c r="M38" s="9" t="str">
        <f t="shared" si="34"/>
        <v>-0.17</v>
      </c>
      <c r="N38" s="9" t="str">
        <f t="shared" si="34"/>
        <v>0.34</v>
      </c>
      <c r="O38" s="9" t="str">
        <f t="shared" si="34"/>
        <v>-0.17</v>
      </c>
      <c r="P38" s="9" t="str">
        <f>TEXT(ROUND(G38,3), "0.000")</f>
        <v>0.264</v>
      </c>
      <c r="R38" s="22" t="s">
        <v>63</v>
      </c>
      <c r="S38" s="9">
        <v>0.75</v>
      </c>
      <c r="T38" s="9">
        <v>-0.16</v>
      </c>
      <c r="U38" s="9">
        <v>0.76</v>
      </c>
      <c r="V38" s="9">
        <v>1.65</v>
      </c>
      <c r="W38" s="9">
        <v>0.76</v>
      </c>
      <c r="X38" s="9">
        <v>0.45800000000000002</v>
      </c>
      <c r="AA38" s="32" t="s">
        <v>120</v>
      </c>
      <c r="AB38" s="38" t="str">
        <f t="shared" si="25"/>
        <v>-0.17 (-0.70–0.34)</v>
      </c>
      <c r="AC38" s="42" t="s">
        <v>119</v>
      </c>
      <c r="AD38" s="39" t="s">
        <v>119</v>
      </c>
    </row>
    <row r="39" spans="1:30" ht="16" x14ac:dyDescent="0.2">
      <c r="A39" s="3" t="s">
        <v>41</v>
      </c>
      <c r="B39" s="3">
        <v>1.05864622756607</v>
      </c>
      <c r="C39" s="3">
        <v>0.35501780782284098</v>
      </c>
      <c r="D39" s="3">
        <v>1.05711038332686</v>
      </c>
      <c r="E39" s="3">
        <v>1.77133768626037</v>
      </c>
      <c r="F39" s="3">
        <v>1.0572069451299999</v>
      </c>
      <c r="G39" s="3">
        <v>0.36076743890079599</v>
      </c>
      <c r="H39" s="3">
        <v>262.47563510341502</v>
      </c>
      <c r="J39" s="9" t="s">
        <v>41</v>
      </c>
      <c r="K39" s="9" t="str">
        <f t="shared" si="34"/>
        <v>1.06</v>
      </c>
      <c r="L39" s="9" t="str">
        <f t="shared" si="34"/>
        <v>0.36</v>
      </c>
      <c r="M39" s="9" t="str">
        <f t="shared" si="34"/>
        <v>1.06</v>
      </c>
      <c r="N39" s="9" t="str">
        <f t="shared" si="34"/>
        <v>1.77</v>
      </c>
      <c r="O39" s="9" t="str">
        <f t="shared" si="34"/>
        <v>1.06</v>
      </c>
      <c r="P39" s="9" t="str">
        <f>TEXT(ROUND(G39,3), "0.000")</f>
        <v>0.361</v>
      </c>
      <c r="R39" s="22" t="s">
        <v>69</v>
      </c>
      <c r="S39" s="9">
        <v>-0.31</v>
      </c>
      <c r="T39" s="9">
        <v>-0.86</v>
      </c>
      <c r="U39" s="9">
        <v>-0.31</v>
      </c>
      <c r="V39" s="9">
        <v>0.24</v>
      </c>
      <c r="W39" s="9">
        <v>-0.31</v>
      </c>
      <c r="X39" s="9">
        <v>0.28000000000000003</v>
      </c>
      <c r="AA39" s="37" t="s">
        <v>121</v>
      </c>
      <c r="AB39" s="39" t="s">
        <v>119</v>
      </c>
      <c r="AC39" s="39" t="str">
        <f>CONCATENATE(M51, " (", L51, "–", N51, ")")</f>
        <v>-0.22 (-0.49–0.03)</v>
      </c>
      <c r="AD39" s="39" t="str">
        <f>CONCATENATE(M64, " (", L64, "–", N64, ")")</f>
        <v>0.17 (-0.03–0.37)</v>
      </c>
    </row>
    <row r="40" spans="1:30" ht="16" x14ac:dyDescent="0.2">
      <c r="A40" s="3" t="s">
        <v>19</v>
      </c>
      <c r="B40" s="3">
        <v>307.79019578659597</v>
      </c>
      <c r="C40" s="3">
        <v>82.7267547330013</v>
      </c>
      <c r="D40" s="3">
        <v>254.743136226106</v>
      </c>
      <c r="E40" s="3">
        <v>851.650693552093</v>
      </c>
      <c r="F40" s="3">
        <v>178.362741198642</v>
      </c>
      <c r="G40" s="3">
        <v>206.065360922591</v>
      </c>
      <c r="H40" s="3">
        <v>262.47563510341502</v>
      </c>
      <c r="J40" s="9" t="s">
        <v>19</v>
      </c>
      <c r="K40" s="9" t="str">
        <f t="shared" si="34"/>
        <v>307.79</v>
      </c>
      <c r="L40" s="9" t="str">
        <f t="shared" si="34"/>
        <v>82.73</v>
      </c>
      <c r="M40" s="9" t="str">
        <f t="shared" si="34"/>
        <v>254.74</v>
      </c>
      <c r="N40" s="9" t="str">
        <f t="shared" si="34"/>
        <v>851.65</v>
      </c>
      <c r="O40" s="9" t="str">
        <f t="shared" si="34"/>
        <v>178.36</v>
      </c>
      <c r="P40" s="9" t="str">
        <f>TEXT(ROUND(G40,3), "0.000")</f>
        <v>206.065</v>
      </c>
      <c r="R40" s="22" t="s">
        <v>67</v>
      </c>
      <c r="S40" s="9">
        <v>1.03</v>
      </c>
      <c r="T40" s="9">
        <v>0.32</v>
      </c>
      <c r="U40" s="9">
        <v>1.02</v>
      </c>
      <c r="V40" s="9">
        <v>1.74</v>
      </c>
      <c r="W40" s="9">
        <v>1.02</v>
      </c>
      <c r="X40" s="9">
        <v>0.36199999999999999</v>
      </c>
      <c r="AA40" s="37" t="s">
        <v>127</v>
      </c>
      <c r="AB40" s="39" t="str">
        <f>CONCATENATE(M39, " (", L39, "–", N39, ")")</f>
        <v>1.06 (0.36–1.77)</v>
      </c>
      <c r="AC40" s="42" t="s">
        <v>119</v>
      </c>
      <c r="AD40" s="40" t="s">
        <v>119</v>
      </c>
    </row>
    <row r="41" spans="1:30" ht="16" x14ac:dyDescent="0.2">
      <c r="A41" s="3" t="s">
        <v>20</v>
      </c>
      <c r="B41" s="3">
        <v>2.0561054532289398</v>
      </c>
      <c r="C41" s="3">
        <v>0.65289583499590098</v>
      </c>
      <c r="D41" s="3">
        <v>1.85233115565436</v>
      </c>
      <c r="E41" s="3">
        <v>4.6251460539847802</v>
      </c>
      <c r="F41" s="3">
        <v>1.4729697074082599</v>
      </c>
      <c r="G41" s="3">
        <v>1.03695489434</v>
      </c>
      <c r="H41" s="3">
        <v>262.47563510341502</v>
      </c>
      <c r="J41" s="9" t="s">
        <v>20</v>
      </c>
      <c r="K41" s="9" t="str">
        <f t="shared" si="34"/>
        <v>2.06</v>
      </c>
      <c r="L41" s="9" t="str">
        <f t="shared" si="34"/>
        <v>0.65</v>
      </c>
      <c r="M41" s="9" t="str">
        <f t="shared" si="34"/>
        <v>1.85</v>
      </c>
      <c r="N41" s="9" t="str">
        <f t="shared" si="34"/>
        <v>4.63</v>
      </c>
      <c r="O41" s="9" t="str">
        <f t="shared" si="34"/>
        <v>1.47</v>
      </c>
      <c r="P41" s="9" t="str">
        <f>TEXT(ROUND(G41,3), "0.000")</f>
        <v>1.037</v>
      </c>
      <c r="R41" s="22" t="s">
        <v>64</v>
      </c>
      <c r="S41" s="9">
        <v>274.97000000000003</v>
      </c>
      <c r="T41" s="9">
        <v>73.52</v>
      </c>
      <c r="U41" s="9">
        <v>228.64</v>
      </c>
      <c r="V41" s="9">
        <v>753.76</v>
      </c>
      <c r="W41" s="9">
        <v>160.6</v>
      </c>
      <c r="X41" s="9">
        <v>181.93700000000001</v>
      </c>
      <c r="AA41" s="37" t="s">
        <v>123</v>
      </c>
      <c r="AB41" s="39" t="s">
        <v>119</v>
      </c>
      <c r="AC41" s="40" t="str">
        <f>CONCATENATE(M52, " (", L52, "–", N52, ")")</f>
        <v>0.62 (0.22–1.04)</v>
      </c>
      <c r="AD41" s="40" t="s">
        <v>119</v>
      </c>
    </row>
    <row r="42" spans="1:30" x14ac:dyDescent="0.15">
      <c r="J42" s="9" t="s">
        <v>9</v>
      </c>
      <c r="K42" s="9" t="str">
        <f>TEXT(ROUND(H32,2), "0.00")</f>
        <v>262.48</v>
      </c>
      <c r="R42" s="22" t="s">
        <v>20</v>
      </c>
      <c r="S42" s="9">
        <v>1.95</v>
      </c>
      <c r="T42" s="9">
        <v>0.57999999999999996</v>
      </c>
      <c r="U42" s="9">
        <v>1.74</v>
      </c>
      <c r="V42" s="9">
        <v>4.53</v>
      </c>
      <c r="W42" s="9">
        <v>1.35</v>
      </c>
      <c r="X42" s="9">
        <v>1.0349999999999999</v>
      </c>
      <c r="AA42" s="37" t="s">
        <v>122</v>
      </c>
      <c r="AB42" s="39" t="s">
        <v>119</v>
      </c>
      <c r="AC42" s="40" t="s">
        <v>119</v>
      </c>
      <c r="AD42" s="40" t="str">
        <f>CONCATENATE(M65, " (", L65, "–", N65, ")")</f>
        <v>-0.29 (-0.44–-0.14)</v>
      </c>
    </row>
    <row r="43" spans="1:30" x14ac:dyDescent="0.15">
      <c r="R43" s="22" t="s">
        <v>9</v>
      </c>
      <c r="S43" s="9">
        <v>263.08999999999997</v>
      </c>
      <c r="AA43" s="37" t="s">
        <v>129</v>
      </c>
      <c r="AB43" s="39" t="str">
        <f>CONCATENATE(M41, " (", L41, "–", N41, ")")</f>
        <v>1.85 (0.65–4.63)</v>
      </c>
      <c r="AC43" s="39" t="str">
        <f>CONCATENATE(M54, " (", L54, "–", N54, ")")</f>
        <v>2.00 (0.77–4.75)</v>
      </c>
      <c r="AD43" s="39" t="str">
        <f>CONCATENATE(M67, " (", L67, "–", N67, ")")</f>
        <v>1.33 (0.46–3.73)</v>
      </c>
    </row>
    <row r="44" spans="1:30" ht="15" x14ac:dyDescent="0.15">
      <c r="AA44" s="37" t="s">
        <v>178</v>
      </c>
      <c r="AB44" s="39" t="str">
        <f>CONCATENATE(M40, " (", L40, "–", N40, ")")</f>
        <v>254.74 (82.73–851.65)</v>
      </c>
      <c r="AC44" s="39" t="str">
        <f>CONCATENATE(M53, " (", L53, "–", N53, ")")</f>
        <v>259.50 (89.53–790.90)</v>
      </c>
      <c r="AD44" s="39" t="str">
        <f>CONCATENATE(M66, " (", L66, "–", N66, ")")</f>
        <v>389.70 (58.95–2325.37)</v>
      </c>
    </row>
    <row r="45" spans="1:30" ht="16" x14ac:dyDescent="0.2">
      <c r="A45" s="4" t="s">
        <v>38</v>
      </c>
      <c r="B45" s="4">
        <v>0.17219569423970699</v>
      </c>
      <c r="C45" s="4">
        <v>7.7203512855900602E-2</v>
      </c>
      <c r="D45" s="4">
        <v>0.17109300496049001</v>
      </c>
      <c r="E45" s="4">
        <v>0.27355307593603601</v>
      </c>
      <c r="F45" s="4">
        <v>0.171117246045421</v>
      </c>
      <c r="G45" s="4">
        <v>4.9967823742694102E-2</v>
      </c>
      <c r="H45" s="4">
        <v>262.579411797082</v>
      </c>
      <c r="J45" s="9" t="s">
        <v>38</v>
      </c>
      <c r="K45" s="9" t="str">
        <f>TEXT(ROUND(B45,2), "0.00")</f>
        <v>0.17</v>
      </c>
      <c r="L45" s="9" t="str">
        <f t="shared" ref="L45" si="35">TEXT(ROUND(C45,2), "0.00")</f>
        <v>0.08</v>
      </c>
      <c r="M45" s="9" t="str">
        <f t="shared" ref="M45" si="36">TEXT(ROUND(D45,2), "0.00")</f>
        <v>0.17</v>
      </c>
      <c r="N45" s="9" t="str">
        <f t="shared" ref="N45" si="37">TEXT(ROUND(E45,2), "0.00")</f>
        <v>0.27</v>
      </c>
      <c r="O45" s="9" t="str">
        <f>TEXT(ROUND(F45,2), "0.00")</f>
        <v>0.17</v>
      </c>
      <c r="P45" s="9" t="str">
        <f>TEXT(ROUND(G45,3), "0.000")</f>
        <v>0.050</v>
      </c>
      <c r="R45" s="21" t="s">
        <v>76</v>
      </c>
      <c r="S45" s="21"/>
      <c r="T45" s="21"/>
      <c r="U45" s="21"/>
      <c r="V45" s="21"/>
      <c r="W45" s="21"/>
      <c r="X45" s="21"/>
      <c r="AA45" s="41" t="s">
        <v>174</v>
      </c>
      <c r="AB45" s="36" t="str">
        <f>K42</f>
        <v>262.48</v>
      </c>
      <c r="AC45" s="36" t="str">
        <f>K55</f>
        <v>262.58</v>
      </c>
      <c r="AD45" s="36" t="str">
        <f>K68</f>
        <v>257.18</v>
      </c>
    </row>
    <row r="46" spans="1:30" ht="16" x14ac:dyDescent="0.2">
      <c r="A46" s="4" t="s">
        <v>39</v>
      </c>
      <c r="B46" s="4">
        <v>1.57768613835676</v>
      </c>
      <c r="C46" s="4">
        <v>0.67505303254026805</v>
      </c>
      <c r="D46" s="4">
        <v>1.5766496576112199</v>
      </c>
      <c r="E46" s="4">
        <v>2.48672919688063</v>
      </c>
      <c r="F46" s="4">
        <v>1.5768311965374999</v>
      </c>
      <c r="G46" s="4">
        <v>0.461072262795445</v>
      </c>
      <c r="H46" s="4">
        <v>262.579411797082</v>
      </c>
      <c r="J46" s="9" t="s">
        <v>39</v>
      </c>
      <c r="K46" s="9" t="str">
        <f t="shared" ref="K46:K54" si="38">TEXT(ROUND(B46,2), "0.00")</f>
        <v>1.58</v>
      </c>
      <c r="L46" s="9" t="str">
        <f t="shared" ref="L46:L54" si="39">TEXT(ROUND(C46,2), "0.00")</f>
        <v>0.68</v>
      </c>
      <c r="M46" s="9" t="str">
        <f t="shared" ref="M46:M54" si="40">TEXT(ROUND(D46,2), "0.00")</f>
        <v>1.58</v>
      </c>
      <c r="N46" s="9" t="str">
        <f t="shared" ref="N46:N54" si="41">TEXT(ROUND(E46,2), "0.00")</f>
        <v>2.49</v>
      </c>
      <c r="O46" s="9" t="str">
        <f t="shared" ref="O46:O54" si="42">TEXT(ROUND(F46,2), "0.00")</f>
        <v>1.58</v>
      </c>
      <c r="P46" s="9" t="str">
        <f t="shared" ref="P46:P54" si="43">TEXT(ROUND(G46,3), "0.000")</f>
        <v>0.461</v>
      </c>
      <c r="R46" s="22" t="s">
        <v>38</v>
      </c>
      <c r="S46" s="9">
        <v>0.17</v>
      </c>
      <c r="T46" s="9">
        <v>0.08</v>
      </c>
      <c r="U46" s="9">
        <v>0.17</v>
      </c>
      <c r="V46" s="9">
        <v>0.27</v>
      </c>
      <c r="W46" s="9">
        <v>0.17</v>
      </c>
      <c r="X46" s="9">
        <v>4.9000000000000002E-2</v>
      </c>
      <c r="AA46" s="54" t="s">
        <v>192</v>
      </c>
      <c r="AB46" s="53"/>
      <c r="AC46" s="53"/>
    </row>
    <row r="47" spans="1:30" ht="16" x14ac:dyDescent="0.2">
      <c r="A47" s="4" t="s">
        <v>12</v>
      </c>
      <c r="B47" s="4">
        <v>0.121690294285309</v>
      </c>
      <c r="C47" s="4">
        <v>-0.332748249672362</v>
      </c>
      <c r="D47" s="4">
        <v>0.120642022030469</v>
      </c>
      <c r="E47" s="4">
        <v>0.58231335800039097</v>
      </c>
      <c r="F47" s="4">
        <v>0.12070543959483</v>
      </c>
      <c r="G47" s="4">
        <v>0.23255930596437699</v>
      </c>
      <c r="H47" s="4">
        <v>262.579411797082</v>
      </c>
      <c r="J47" s="9" t="s">
        <v>12</v>
      </c>
      <c r="K47" s="9" t="str">
        <f t="shared" si="38"/>
        <v>0.12</v>
      </c>
      <c r="L47" s="9" t="str">
        <f t="shared" si="39"/>
        <v>-0.33</v>
      </c>
      <c r="M47" s="9" t="str">
        <f t="shared" si="40"/>
        <v>0.12</v>
      </c>
      <c r="N47" s="9" t="str">
        <f t="shared" si="41"/>
        <v>0.58</v>
      </c>
      <c r="O47" s="9" t="str">
        <f t="shared" si="42"/>
        <v>0.12</v>
      </c>
      <c r="P47" s="9" t="str">
        <f t="shared" si="43"/>
        <v>0.233</v>
      </c>
      <c r="R47" s="22" t="s">
        <v>39</v>
      </c>
      <c r="S47" s="9">
        <v>1.61</v>
      </c>
      <c r="T47" s="9">
        <v>0.73</v>
      </c>
      <c r="U47" s="9">
        <v>1.61</v>
      </c>
      <c r="V47" s="9">
        <v>2.5</v>
      </c>
      <c r="W47" s="9">
        <v>1.61</v>
      </c>
      <c r="X47" s="9">
        <v>0.45</v>
      </c>
      <c r="AA47" s="149" t="s">
        <v>190</v>
      </c>
      <c r="AB47" s="149"/>
      <c r="AC47" s="149"/>
    </row>
    <row r="48" spans="1:30" ht="16" x14ac:dyDescent="0.2">
      <c r="A48" s="4" t="s">
        <v>13</v>
      </c>
      <c r="B48" s="4">
        <v>-0.49184105661458799</v>
      </c>
      <c r="C48" s="4">
        <v>-1.13255622613906</v>
      </c>
      <c r="D48" s="4">
        <v>-0.49479604511048397</v>
      </c>
      <c r="E48" s="4">
        <v>0.16660355182078099</v>
      </c>
      <c r="F48" s="4">
        <v>-0.494496438415159</v>
      </c>
      <c r="G48" s="4">
        <v>0.32967449176758701</v>
      </c>
      <c r="H48" s="4">
        <v>262.579411797082</v>
      </c>
      <c r="J48" s="9" t="s">
        <v>13</v>
      </c>
      <c r="K48" s="9" t="str">
        <f t="shared" si="38"/>
        <v>-0.49</v>
      </c>
      <c r="L48" s="9" t="str">
        <f t="shared" si="39"/>
        <v>-1.13</v>
      </c>
      <c r="M48" s="9" t="str">
        <f t="shared" si="40"/>
        <v>-0.49</v>
      </c>
      <c r="N48" s="9" t="str">
        <f t="shared" si="41"/>
        <v>0.17</v>
      </c>
      <c r="O48" s="9" t="str">
        <f t="shared" si="42"/>
        <v>-0.49</v>
      </c>
      <c r="P48" s="9" t="str">
        <f t="shared" si="43"/>
        <v>0.330</v>
      </c>
      <c r="R48" s="22" t="s">
        <v>12</v>
      </c>
      <c r="S48" s="9">
        <v>0.05</v>
      </c>
      <c r="T48" s="9">
        <v>-0.39</v>
      </c>
      <c r="U48" s="9">
        <v>0.05</v>
      </c>
      <c r="V48" s="9">
        <v>0.5</v>
      </c>
      <c r="W48" s="9">
        <v>0.05</v>
      </c>
      <c r="X48" s="9">
        <v>0.22500000000000001</v>
      </c>
    </row>
    <row r="49" spans="1:24" ht="16" x14ac:dyDescent="0.2">
      <c r="A49" s="4" t="s">
        <v>40</v>
      </c>
      <c r="B49" s="4">
        <v>0.43588923064228902</v>
      </c>
      <c r="C49" s="4">
        <v>0.21191103153142599</v>
      </c>
      <c r="D49" s="4">
        <v>0.43499448962137699</v>
      </c>
      <c r="E49" s="4">
        <v>0.66504704111525104</v>
      </c>
      <c r="F49" s="4">
        <v>0.43503875777478201</v>
      </c>
      <c r="G49" s="4">
        <v>0.115438514430501</v>
      </c>
      <c r="H49" s="4">
        <v>262.579411797082</v>
      </c>
      <c r="J49" s="9" t="s">
        <v>40</v>
      </c>
      <c r="K49" s="9" t="str">
        <f t="shared" si="38"/>
        <v>0.44</v>
      </c>
      <c r="L49" s="9" t="str">
        <f t="shared" si="39"/>
        <v>0.21</v>
      </c>
      <c r="M49" s="9" t="str">
        <f t="shared" si="40"/>
        <v>0.43</v>
      </c>
      <c r="N49" s="9" t="str">
        <f t="shared" si="41"/>
        <v>0.67</v>
      </c>
      <c r="O49" s="9" t="str">
        <f t="shared" si="42"/>
        <v>0.44</v>
      </c>
      <c r="P49" s="9" t="str">
        <f t="shared" si="43"/>
        <v>0.115</v>
      </c>
      <c r="R49" s="22" t="s">
        <v>13</v>
      </c>
      <c r="S49" s="9">
        <v>-0.48</v>
      </c>
      <c r="T49" s="9">
        <v>-1.1000000000000001</v>
      </c>
      <c r="U49" s="9">
        <v>-0.48</v>
      </c>
      <c r="V49" s="9">
        <v>0.14000000000000001</v>
      </c>
      <c r="W49" s="9">
        <v>-0.48</v>
      </c>
      <c r="X49" s="9">
        <v>0.315</v>
      </c>
    </row>
    <row r="50" spans="1:24" ht="16" x14ac:dyDescent="0.2">
      <c r="A50" s="4" t="s">
        <v>14</v>
      </c>
      <c r="B50" s="4">
        <v>-1.66448916957661</v>
      </c>
      <c r="C50" s="4">
        <v>-3.06367551097747</v>
      </c>
      <c r="D50" s="4">
        <v>-1.65981559093065</v>
      </c>
      <c r="E50" s="4">
        <v>-0.29280926693897302</v>
      </c>
      <c r="F50" s="4">
        <v>-1.66010654423639</v>
      </c>
      <c r="G50" s="4">
        <v>0.70582712892195099</v>
      </c>
      <c r="H50" s="4">
        <v>262.579411797082</v>
      </c>
      <c r="J50" s="9" t="s">
        <v>14</v>
      </c>
      <c r="K50" s="9" t="str">
        <f t="shared" si="38"/>
        <v>-1.66</v>
      </c>
      <c r="L50" s="9" t="str">
        <f t="shared" si="39"/>
        <v>-3.06</v>
      </c>
      <c r="M50" s="9" t="str">
        <f t="shared" si="40"/>
        <v>-1.66</v>
      </c>
      <c r="N50" s="9" t="str">
        <f t="shared" si="41"/>
        <v>-0.29</v>
      </c>
      <c r="O50" s="9" t="str">
        <f t="shared" si="42"/>
        <v>-1.66</v>
      </c>
      <c r="P50" s="9" t="str">
        <f t="shared" si="43"/>
        <v>0.706</v>
      </c>
      <c r="R50" s="22" t="s">
        <v>40</v>
      </c>
      <c r="S50" s="9">
        <v>0.46</v>
      </c>
      <c r="T50" s="9">
        <v>0.24</v>
      </c>
      <c r="U50" s="9">
        <v>0.46</v>
      </c>
      <c r="V50" s="9">
        <v>0.68</v>
      </c>
      <c r="W50" s="9">
        <v>0.46</v>
      </c>
      <c r="X50" s="9">
        <v>0.113</v>
      </c>
    </row>
    <row r="51" spans="1:24" ht="16" x14ac:dyDescent="0.2">
      <c r="A51" s="4" t="s">
        <v>45</v>
      </c>
      <c r="B51" s="4">
        <v>-0.223654707450016</v>
      </c>
      <c r="C51" s="4">
        <v>-0.49090902022162702</v>
      </c>
      <c r="D51" s="4">
        <v>-0.22193013820964</v>
      </c>
      <c r="E51" s="4">
        <v>3.3441015631283197E-2</v>
      </c>
      <c r="F51" s="4">
        <v>-0.22204166642388701</v>
      </c>
      <c r="G51" s="4">
        <v>0.13338395808161799</v>
      </c>
      <c r="H51" s="4">
        <v>262.579411797082</v>
      </c>
      <c r="J51" s="9" t="s">
        <v>45</v>
      </c>
      <c r="K51" s="9" t="str">
        <f t="shared" si="38"/>
        <v>-0.22</v>
      </c>
      <c r="L51" s="9" t="str">
        <f t="shared" si="39"/>
        <v>-0.49</v>
      </c>
      <c r="M51" s="9" t="str">
        <f t="shared" si="40"/>
        <v>-0.22</v>
      </c>
      <c r="N51" s="9" t="str">
        <f t="shared" si="41"/>
        <v>0.03</v>
      </c>
      <c r="O51" s="9" t="str">
        <f t="shared" si="42"/>
        <v>-0.22</v>
      </c>
      <c r="P51" s="9" t="str">
        <f t="shared" si="43"/>
        <v>0.133</v>
      </c>
      <c r="R51" s="22" t="s">
        <v>65</v>
      </c>
      <c r="S51" s="9">
        <v>-1.48</v>
      </c>
      <c r="T51" s="9">
        <v>-2.84</v>
      </c>
      <c r="U51" s="9">
        <v>-1.48</v>
      </c>
      <c r="V51" s="9">
        <v>-0.14000000000000001</v>
      </c>
      <c r="W51" s="9">
        <v>-1.48</v>
      </c>
      <c r="X51" s="9">
        <v>0.69</v>
      </c>
    </row>
    <row r="52" spans="1:24" ht="16" x14ac:dyDescent="0.2">
      <c r="A52" s="4" t="s">
        <v>46</v>
      </c>
      <c r="B52" s="4">
        <v>0.62347434057151696</v>
      </c>
      <c r="C52" s="4">
        <v>0.21660403935172701</v>
      </c>
      <c r="D52" s="4">
        <v>0.62162747731196799</v>
      </c>
      <c r="E52" s="4">
        <v>1.04130124768705</v>
      </c>
      <c r="F52" s="4">
        <v>0.62177107986064495</v>
      </c>
      <c r="G52" s="4">
        <v>0.20996163587778099</v>
      </c>
      <c r="H52" s="4">
        <v>262.579411797082</v>
      </c>
      <c r="J52" s="9" t="s">
        <v>46</v>
      </c>
      <c r="K52" s="9" t="str">
        <f t="shared" si="38"/>
        <v>0.62</v>
      </c>
      <c r="L52" s="9" t="str">
        <f t="shared" si="39"/>
        <v>0.22</v>
      </c>
      <c r="M52" s="9" t="str">
        <f t="shared" si="40"/>
        <v>0.62</v>
      </c>
      <c r="N52" s="9" t="str">
        <f t="shared" si="41"/>
        <v>1.04</v>
      </c>
      <c r="O52" s="9" t="str">
        <f t="shared" si="42"/>
        <v>0.62</v>
      </c>
      <c r="P52" s="9" t="str">
        <f t="shared" si="43"/>
        <v>0.210</v>
      </c>
      <c r="R52" s="22" t="s">
        <v>63</v>
      </c>
      <c r="S52" s="9">
        <v>1.02</v>
      </c>
      <c r="T52" s="9">
        <v>0.12</v>
      </c>
      <c r="U52" s="9">
        <v>1.02</v>
      </c>
      <c r="V52" s="9">
        <v>1.91</v>
      </c>
      <c r="W52" s="9">
        <v>1.02</v>
      </c>
      <c r="X52" s="9">
        <v>0.45700000000000002</v>
      </c>
    </row>
    <row r="53" spans="1:24" ht="16" x14ac:dyDescent="0.2">
      <c r="A53" s="4" t="s">
        <v>19</v>
      </c>
      <c r="B53" s="4">
        <v>304.91204411819302</v>
      </c>
      <c r="C53" s="4">
        <v>89.525342783103298</v>
      </c>
      <c r="D53" s="4">
        <v>259.50442063594102</v>
      </c>
      <c r="E53" s="4">
        <v>790.90032762205203</v>
      </c>
      <c r="F53" s="4">
        <v>190.080586134014</v>
      </c>
      <c r="G53" s="4">
        <v>186.06628617092801</v>
      </c>
      <c r="H53" s="4">
        <v>262.579411797082</v>
      </c>
      <c r="J53" s="9" t="s">
        <v>19</v>
      </c>
      <c r="K53" s="9" t="str">
        <f t="shared" si="38"/>
        <v>304.91</v>
      </c>
      <c r="L53" s="9" t="str">
        <f t="shared" si="39"/>
        <v>89.53</v>
      </c>
      <c r="M53" s="9" t="str">
        <f t="shared" si="40"/>
        <v>259.50</v>
      </c>
      <c r="N53" s="9" t="str">
        <f t="shared" si="41"/>
        <v>790.90</v>
      </c>
      <c r="O53" s="9" t="str">
        <f t="shared" si="42"/>
        <v>190.08</v>
      </c>
      <c r="P53" s="9" t="str">
        <f t="shared" si="43"/>
        <v>186.066</v>
      </c>
      <c r="R53" s="22" t="s">
        <v>66</v>
      </c>
      <c r="S53" s="9">
        <v>-0.3</v>
      </c>
      <c r="T53" s="9">
        <v>-0.57999999999999996</v>
      </c>
      <c r="U53" s="9">
        <v>-0.3</v>
      </c>
      <c r="V53" s="9">
        <v>-0.03</v>
      </c>
      <c r="W53" s="9">
        <v>-0.3</v>
      </c>
      <c r="X53" s="9">
        <v>0.13900000000000001</v>
      </c>
    </row>
    <row r="54" spans="1:24" ht="16" x14ac:dyDescent="0.2">
      <c r="A54" s="4" t="s">
        <v>20</v>
      </c>
      <c r="B54" s="4">
        <v>2.1970418930275502</v>
      </c>
      <c r="C54" s="4">
        <v>0.77027962351297596</v>
      </c>
      <c r="D54" s="4">
        <v>2.00197198923841</v>
      </c>
      <c r="E54" s="4">
        <v>4.7463462359610498</v>
      </c>
      <c r="F54" s="4">
        <v>1.6434832598815801</v>
      </c>
      <c r="G54" s="4">
        <v>1.03446622261461</v>
      </c>
      <c r="H54" s="4">
        <v>262.579411797082</v>
      </c>
      <c r="J54" s="9" t="s">
        <v>20</v>
      </c>
      <c r="K54" s="9" t="str">
        <f t="shared" si="38"/>
        <v>2.20</v>
      </c>
      <c r="L54" s="9" t="str">
        <f t="shared" si="39"/>
        <v>0.77</v>
      </c>
      <c r="M54" s="9" t="str">
        <f t="shared" si="40"/>
        <v>2.00</v>
      </c>
      <c r="N54" s="9" t="str">
        <f t="shared" si="41"/>
        <v>4.75</v>
      </c>
      <c r="O54" s="9" t="str">
        <f t="shared" si="42"/>
        <v>1.64</v>
      </c>
      <c r="P54" s="9" t="str">
        <f t="shared" si="43"/>
        <v>1.034</v>
      </c>
      <c r="R54" s="22" t="s">
        <v>67</v>
      </c>
      <c r="S54" s="9">
        <v>0.56999999999999995</v>
      </c>
      <c r="T54" s="9">
        <v>0.17</v>
      </c>
      <c r="U54" s="9">
        <v>0.56999999999999995</v>
      </c>
      <c r="V54" s="9">
        <v>0.97</v>
      </c>
      <c r="W54" s="9">
        <v>0.56999999999999995</v>
      </c>
      <c r="X54" s="9">
        <v>0.20499999999999999</v>
      </c>
    </row>
    <row r="55" spans="1:24" x14ac:dyDescent="0.15">
      <c r="J55" s="9" t="s">
        <v>9</v>
      </c>
      <c r="K55" s="9" t="str">
        <f>TEXT(ROUND(H45,2), "0.00")</f>
        <v>262.58</v>
      </c>
      <c r="R55" s="22" t="s">
        <v>64</v>
      </c>
      <c r="S55" s="9">
        <v>282.88</v>
      </c>
      <c r="T55" s="9">
        <v>75.48</v>
      </c>
      <c r="U55" s="9">
        <v>235.42</v>
      </c>
      <c r="V55" s="9">
        <v>774.11</v>
      </c>
      <c r="W55" s="9">
        <v>165.41</v>
      </c>
      <c r="X55" s="9">
        <v>186.79400000000001</v>
      </c>
    </row>
    <row r="56" spans="1:24" x14ac:dyDescent="0.15">
      <c r="R56" s="22" t="s">
        <v>20</v>
      </c>
      <c r="S56" s="9">
        <v>1.91</v>
      </c>
      <c r="T56" s="9">
        <v>0.57999999999999996</v>
      </c>
      <c r="U56" s="9">
        <v>1.71</v>
      </c>
      <c r="V56" s="9">
        <v>4.3899999999999997</v>
      </c>
      <c r="W56" s="9">
        <v>1.34</v>
      </c>
      <c r="X56" s="9">
        <v>0.997</v>
      </c>
    </row>
    <row r="57" spans="1:24" x14ac:dyDescent="0.15">
      <c r="R57" s="22" t="s">
        <v>9</v>
      </c>
      <c r="S57" s="9">
        <v>262.56</v>
      </c>
    </row>
    <row r="58" spans="1:24" ht="16" x14ac:dyDescent="0.2">
      <c r="A58" s="5" t="s">
        <v>38</v>
      </c>
      <c r="B58" s="5">
        <v>0.156669446302628</v>
      </c>
      <c r="C58" s="5">
        <v>6.4843225988536299E-2</v>
      </c>
      <c r="D58" s="5">
        <v>0.15616052104311801</v>
      </c>
      <c r="E58" s="5">
        <v>0.25142288309338101</v>
      </c>
      <c r="F58" s="5">
        <v>0.156167487692491</v>
      </c>
      <c r="G58" s="5">
        <v>4.75299229806391E-2</v>
      </c>
      <c r="H58" s="5">
        <v>257.17992202123003</v>
      </c>
      <c r="J58" s="9" t="s">
        <v>38</v>
      </c>
      <c r="K58" s="9" t="str">
        <f>TEXT(ROUND(B58,2), "0.00")</f>
        <v>0.16</v>
      </c>
      <c r="L58" s="9" t="str">
        <f t="shared" ref="L58" si="44">TEXT(ROUND(C58,2), "0.00")</f>
        <v>0.06</v>
      </c>
      <c r="M58" s="9" t="str">
        <f t="shared" ref="M58" si="45">TEXT(ROUND(D58,2), "0.00")</f>
        <v>0.16</v>
      </c>
      <c r="N58" s="9" t="str">
        <f t="shared" ref="N58" si="46">TEXT(ROUND(E58,2), "0.00")</f>
        <v>0.25</v>
      </c>
      <c r="O58" s="9" t="str">
        <f>TEXT(ROUND(F58,2), "0.00")</f>
        <v>0.16</v>
      </c>
      <c r="P58" s="9" t="str">
        <f>TEXT(ROUND(G58,3), "0.000")</f>
        <v>0.048</v>
      </c>
    </row>
    <row r="59" spans="1:24" ht="16" x14ac:dyDescent="0.2">
      <c r="A59" s="5" t="s">
        <v>39</v>
      </c>
      <c r="B59" s="5">
        <v>1.4630016022912</v>
      </c>
      <c r="C59" s="5">
        <v>0.55249765882615798</v>
      </c>
      <c r="D59" s="5">
        <v>1.46642444332663</v>
      </c>
      <c r="E59" s="5">
        <v>2.3540716696955801</v>
      </c>
      <c r="F59" s="5">
        <v>1.46644419209078</v>
      </c>
      <c r="G59" s="5">
        <v>0.45896147971763801</v>
      </c>
      <c r="H59" s="5">
        <v>257.17992202123003</v>
      </c>
      <c r="J59" s="9" t="s">
        <v>39</v>
      </c>
      <c r="K59" s="9" t="str">
        <f t="shared" ref="K59:K67" si="47">TEXT(ROUND(B59,2), "0.00")</f>
        <v>1.46</v>
      </c>
      <c r="L59" s="9" t="str">
        <f t="shared" ref="L59:L67" si="48">TEXT(ROUND(C59,2), "0.00")</f>
        <v>0.55</v>
      </c>
      <c r="M59" s="9" t="str">
        <f t="shared" ref="M59:M67" si="49">TEXT(ROUND(D59,2), "0.00")</f>
        <v>1.47</v>
      </c>
      <c r="N59" s="9" t="str">
        <f t="shared" ref="N59:N67" si="50">TEXT(ROUND(E59,2), "0.00")</f>
        <v>2.35</v>
      </c>
      <c r="O59" s="9" t="str">
        <f t="shared" ref="O59:O67" si="51">TEXT(ROUND(F59,2), "0.00")</f>
        <v>1.47</v>
      </c>
      <c r="P59" s="9" t="str">
        <f t="shared" ref="P59:P67" si="52">TEXT(ROUND(G59,3), "0.000")</f>
        <v>0.459</v>
      </c>
      <c r="R59" s="21" t="s">
        <v>75</v>
      </c>
      <c r="S59" s="21"/>
      <c r="T59" s="21"/>
      <c r="U59" s="21"/>
      <c r="V59" s="21"/>
      <c r="W59" s="21"/>
      <c r="X59" s="21"/>
    </row>
    <row r="60" spans="1:24" ht="16" x14ac:dyDescent="0.2">
      <c r="A60" s="5" t="s">
        <v>12</v>
      </c>
      <c r="B60" s="5">
        <v>0.13826461789646699</v>
      </c>
      <c r="C60" s="5">
        <v>-0.32593815388953001</v>
      </c>
      <c r="D60" s="5">
        <v>0.13874877090620799</v>
      </c>
      <c r="E60" s="5">
        <v>0.59978754601686302</v>
      </c>
      <c r="F60" s="5">
        <v>0.13877712134172801</v>
      </c>
      <c r="G60" s="5">
        <v>0.23572700825364301</v>
      </c>
      <c r="H60" s="5">
        <v>257.17992202123003</v>
      </c>
      <c r="J60" s="9" t="s">
        <v>12</v>
      </c>
      <c r="K60" s="9" t="str">
        <f t="shared" si="47"/>
        <v>0.14</v>
      </c>
      <c r="L60" s="9" t="str">
        <f t="shared" si="48"/>
        <v>-0.33</v>
      </c>
      <c r="M60" s="9" t="str">
        <f t="shared" si="49"/>
        <v>0.14</v>
      </c>
      <c r="N60" s="9" t="str">
        <f t="shared" si="50"/>
        <v>0.60</v>
      </c>
      <c r="O60" s="9" t="str">
        <f t="shared" si="51"/>
        <v>0.14</v>
      </c>
      <c r="P60" s="9" t="str">
        <f t="shared" si="52"/>
        <v>0.236</v>
      </c>
      <c r="R60" s="22" t="s">
        <v>38</v>
      </c>
      <c r="S60" s="9">
        <v>0.16</v>
      </c>
      <c r="T60" s="9">
        <v>0.06</v>
      </c>
      <c r="U60" s="9">
        <v>0.16</v>
      </c>
      <c r="V60" s="9">
        <v>0.25</v>
      </c>
      <c r="W60" s="9">
        <v>0.16</v>
      </c>
      <c r="X60" s="9">
        <v>4.7E-2</v>
      </c>
    </row>
    <row r="61" spans="1:24" ht="16" x14ac:dyDescent="0.2">
      <c r="A61" s="5" t="s">
        <v>13</v>
      </c>
      <c r="B61" s="5">
        <v>-0.78014428503002398</v>
      </c>
      <c r="C61" s="5">
        <v>-1.4273796838450801</v>
      </c>
      <c r="D61" s="5">
        <v>-0.77931760941926997</v>
      </c>
      <c r="E61" s="5">
        <v>-0.13738403178219599</v>
      </c>
      <c r="F61" s="5">
        <v>-0.77923980010640503</v>
      </c>
      <c r="G61" s="5">
        <v>0.32792833458559001</v>
      </c>
      <c r="H61" s="5">
        <v>257.17992202123003</v>
      </c>
      <c r="J61" s="9" t="s">
        <v>13</v>
      </c>
      <c r="K61" s="9" t="str">
        <f t="shared" si="47"/>
        <v>-0.78</v>
      </c>
      <c r="L61" s="9" t="str">
        <f t="shared" si="48"/>
        <v>-1.43</v>
      </c>
      <c r="M61" s="9" t="str">
        <f t="shared" si="49"/>
        <v>-0.78</v>
      </c>
      <c r="N61" s="9" t="str">
        <f t="shared" si="50"/>
        <v>-0.14</v>
      </c>
      <c r="O61" s="9" t="str">
        <f t="shared" si="51"/>
        <v>-0.78</v>
      </c>
      <c r="P61" s="9" t="str">
        <f t="shared" si="52"/>
        <v>0.328</v>
      </c>
      <c r="R61" s="22" t="s">
        <v>39</v>
      </c>
      <c r="S61" s="9">
        <v>1.51</v>
      </c>
      <c r="T61" s="9">
        <v>0.62</v>
      </c>
      <c r="U61" s="9">
        <v>1.51</v>
      </c>
      <c r="V61" s="9">
        <v>2.38</v>
      </c>
      <c r="W61" s="9">
        <v>1.51</v>
      </c>
      <c r="X61" s="9">
        <v>0.44900000000000001</v>
      </c>
    </row>
    <row r="62" spans="1:24" ht="16" x14ac:dyDescent="0.2">
      <c r="A62" s="5" t="s">
        <v>40</v>
      </c>
      <c r="B62" s="5">
        <v>1.46118296896505</v>
      </c>
      <c r="C62" s="5">
        <v>0.811006805401282</v>
      </c>
      <c r="D62" s="5">
        <v>1.4515858077346599</v>
      </c>
      <c r="E62" s="5">
        <v>2.16873807397831</v>
      </c>
      <c r="F62" s="5">
        <v>1.4524063345903</v>
      </c>
      <c r="G62" s="5">
        <v>0.34438703519074798</v>
      </c>
      <c r="H62" s="5">
        <v>257.17992202123003</v>
      </c>
      <c r="J62" s="9" t="s">
        <v>40</v>
      </c>
      <c r="K62" s="9" t="str">
        <f t="shared" si="47"/>
        <v>1.46</v>
      </c>
      <c r="L62" s="9" t="str">
        <f t="shared" si="48"/>
        <v>0.81</v>
      </c>
      <c r="M62" s="9" t="str">
        <f t="shared" si="49"/>
        <v>1.45</v>
      </c>
      <c r="N62" s="9" t="str">
        <f t="shared" si="50"/>
        <v>2.17</v>
      </c>
      <c r="O62" s="9" t="str">
        <f t="shared" si="51"/>
        <v>1.45</v>
      </c>
      <c r="P62" s="9" t="str">
        <f t="shared" si="52"/>
        <v>0.344</v>
      </c>
      <c r="R62" s="22" t="s">
        <v>12</v>
      </c>
      <c r="S62" s="9">
        <v>0.09</v>
      </c>
      <c r="T62" s="9">
        <v>-0.37</v>
      </c>
      <c r="U62" s="9">
        <v>0.09</v>
      </c>
      <c r="V62" s="9">
        <v>0.54</v>
      </c>
      <c r="W62" s="9">
        <v>0.09</v>
      </c>
      <c r="X62" s="9">
        <v>0.23</v>
      </c>
    </row>
    <row r="63" spans="1:24" ht="16" x14ac:dyDescent="0.2">
      <c r="A63" s="5" t="s">
        <v>14</v>
      </c>
      <c r="B63" s="5">
        <v>-0.18383410375349499</v>
      </c>
      <c r="C63" s="5">
        <v>-1.0749785229103901</v>
      </c>
      <c r="D63" s="5">
        <v>-0.18007228237136699</v>
      </c>
      <c r="E63" s="5">
        <v>0.68585474344463004</v>
      </c>
      <c r="F63" s="5">
        <v>-0.180081947493443</v>
      </c>
      <c r="G63" s="5">
        <v>0.44831052061496002</v>
      </c>
      <c r="H63" s="5">
        <v>257.17992202123003</v>
      </c>
      <c r="J63" s="9" t="s">
        <v>14</v>
      </c>
      <c r="K63" s="9" t="str">
        <f t="shared" si="47"/>
        <v>-0.18</v>
      </c>
      <c r="L63" s="9" t="str">
        <f t="shared" si="48"/>
        <v>-1.07</v>
      </c>
      <c r="M63" s="9" t="str">
        <f t="shared" si="49"/>
        <v>-0.18</v>
      </c>
      <c r="N63" s="9" t="str">
        <f t="shared" si="50"/>
        <v>0.69</v>
      </c>
      <c r="O63" s="9" t="str">
        <f t="shared" si="51"/>
        <v>-0.18</v>
      </c>
      <c r="P63" s="9" t="str">
        <f t="shared" si="52"/>
        <v>0.448</v>
      </c>
      <c r="R63" s="22" t="s">
        <v>13</v>
      </c>
      <c r="S63" s="9">
        <v>-0.75</v>
      </c>
      <c r="T63" s="9">
        <v>-1.38</v>
      </c>
      <c r="U63" s="9">
        <v>-0.75</v>
      </c>
      <c r="V63" s="9">
        <v>-0.12</v>
      </c>
      <c r="W63" s="9">
        <v>-0.75</v>
      </c>
      <c r="X63" s="9">
        <v>0.32</v>
      </c>
    </row>
    <row r="64" spans="1:24" ht="16" x14ac:dyDescent="0.2">
      <c r="A64" s="5" t="s">
        <v>45</v>
      </c>
      <c r="B64" s="5">
        <v>0.17209659019701401</v>
      </c>
      <c r="C64" s="5">
        <v>-2.84194086556992E-2</v>
      </c>
      <c r="D64" s="5">
        <v>0.171821181130968</v>
      </c>
      <c r="E64" s="5">
        <v>0.37425702595921301</v>
      </c>
      <c r="F64" s="5">
        <v>0.171846186955009</v>
      </c>
      <c r="G64" s="5">
        <v>0.10255460293457599</v>
      </c>
      <c r="H64" s="5">
        <v>257.17992202123003</v>
      </c>
      <c r="J64" s="9" t="s">
        <v>45</v>
      </c>
      <c r="K64" s="9" t="str">
        <f t="shared" si="47"/>
        <v>0.17</v>
      </c>
      <c r="L64" s="9" t="str">
        <f t="shared" si="48"/>
        <v>-0.03</v>
      </c>
      <c r="M64" s="9" t="str">
        <f t="shared" si="49"/>
        <v>0.17</v>
      </c>
      <c r="N64" s="9" t="str">
        <f t="shared" si="50"/>
        <v>0.37</v>
      </c>
      <c r="O64" s="9" t="str">
        <f t="shared" si="51"/>
        <v>0.17</v>
      </c>
      <c r="P64" s="9" t="str">
        <f t="shared" si="52"/>
        <v>0.103</v>
      </c>
      <c r="R64" s="22" t="s">
        <v>68</v>
      </c>
      <c r="S64" s="9">
        <v>1.39</v>
      </c>
      <c r="T64" s="9">
        <v>0.77</v>
      </c>
      <c r="U64" s="9">
        <v>1.38</v>
      </c>
      <c r="V64" s="9">
        <v>2.04</v>
      </c>
      <c r="W64" s="9">
        <v>1.38</v>
      </c>
      <c r="X64" s="9">
        <v>0.32300000000000001</v>
      </c>
    </row>
    <row r="65" spans="1:24" ht="16" x14ac:dyDescent="0.2">
      <c r="A65" s="5" t="s">
        <v>50</v>
      </c>
      <c r="B65" s="5">
        <v>-0.28714338635279302</v>
      </c>
      <c r="C65" s="5">
        <v>-0.44479152124638599</v>
      </c>
      <c r="D65" s="5">
        <v>-0.28550924488644802</v>
      </c>
      <c r="E65" s="5">
        <v>-0.13918002775551699</v>
      </c>
      <c r="F65" s="5">
        <v>-0.28562582122269498</v>
      </c>
      <c r="G65" s="5">
        <v>7.7609039575604902E-2</v>
      </c>
      <c r="H65" s="5">
        <v>257.17992202123003</v>
      </c>
      <c r="J65" s="9" t="s">
        <v>50</v>
      </c>
      <c r="K65" s="9" t="str">
        <f t="shared" si="47"/>
        <v>-0.29</v>
      </c>
      <c r="L65" s="9" t="str">
        <f t="shared" si="48"/>
        <v>-0.44</v>
      </c>
      <c r="M65" s="9" t="str">
        <f t="shared" si="49"/>
        <v>-0.29</v>
      </c>
      <c r="N65" s="9" t="str">
        <f t="shared" si="50"/>
        <v>-0.14</v>
      </c>
      <c r="O65" s="9" t="str">
        <f t="shared" si="51"/>
        <v>-0.29</v>
      </c>
      <c r="P65" s="9" t="str">
        <f t="shared" si="52"/>
        <v>0.078</v>
      </c>
      <c r="R65" s="22" t="s">
        <v>14</v>
      </c>
      <c r="S65" s="9">
        <v>-0.14000000000000001</v>
      </c>
      <c r="T65" s="9">
        <v>-1</v>
      </c>
      <c r="U65" s="9">
        <v>-0.13</v>
      </c>
      <c r="V65" s="9">
        <v>0.71</v>
      </c>
      <c r="W65" s="9">
        <v>-0.13</v>
      </c>
      <c r="X65" s="9">
        <v>0.437</v>
      </c>
    </row>
    <row r="66" spans="1:24" ht="16" x14ac:dyDescent="0.2">
      <c r="A66" s="5" t="s">
        <v>19</v>
      </c>
      <c r="B66" s="5">
        <v>588.707561071898</v>
      </c>
      <c r="C66" s="5">
        <v>58.950182157461199</v>
      </c>
      <c r="D66" s="5">
        <v>389.70062404203497</v>
      </c>
      <c r="E66" s="5">
        <v>2325.3713521411701</v>
      </c>
      <c r="F66" s="5">
        <v>158.829810467588</v>
      </c>
      <c r="G66" s="5">
        <v>662.76115560147605</v>
      </c>
      <c r="H66" s="5">
        <v>257.17992202123003</v>
      </c>
      <c r="J66" s="9" t="s">
        <v>19</v>
      </c>
      <c r="K66" s="9" t="str">
        <f t="shared" si="47"/>
        <v>588.71</v>
      </c>
      <c r="L66" s="9" t="str">
        <f t="shared" si="48"/>
        <v>58.95</v>
      </c>
      <c r="M66" s="9" t="str">
        <f t="shared" si="49"/>
        <v>389.70</v>
      </c>
      <c r="N66" s="9" t="str">
        <f t="shared" si="50"/>
        <v>2325.37</v>
      </c>
      <c r="O66" s="9" t="str">
        <f t="shared" si="51"/>
        <v>158.83</v>
      </c>
      <c r="P66" s="9" t="str">
        <f t="shared" si="52"/>
        <v>662.761</v>
      </c>
      <c r="R66" s="22" t="s">
        <v>63</v>
      </c>
      <c r="S66" s="9">
        <v>0.94</v>
      </c>
      <c r="T66" s="9">
        <v>7.0000000000000007E-2</v>
      </c>
      <c r="U66" s="9">
        <v>0.94</v>
      </c>
      <c r="V66" s="9">
        <v>1.79</v>
      </c>
      <c r="W66" s="9">
        <v>0.94</v>
      </c>
      <c r="X66" s="9">
        <v>0.439</v>
      </c>
    </row>
    <row r="67" spans="1:24" ht="16" x14ac:dyDescent="0.2">
      <c r="A67" s="5" t="s">
        <v>20</v>
      </c>
      <c r="B67" s="5">
        <v>1.5216737437816501</v>
      </c>
      <c r="C67" s="5">
        <v>0.45980282475092499</v>
      </c>
      <c r="D67" s="5">
        <v>1.3261837744729399</v>
      </c>
      <c r="E67" s="5">
        <v>3.7327641306033099</v>
      </c>
      <c r="F67" s="5">
        <v>1.00232951754888</v>
      </c>
      <c r="G67" s="5">
        <v>0.86181538080797104</v>
      </c>
      <c r="H67" s="5">
        <v>257.17992202123003</v>
      </c>
      <c r="J67" s="9" t="s">
        <v>20</v>
      </c>
      <c r="K67" s="9" t="str">
        <f t="shared" si="47"/>
        <v>1.52</v>
      </c>
      <c r="L67" s="9" t="str">
        <f t="shared" si="48"/>
        <v>0.46</v>
      </c>
      <c r="M67" s="9" t="str">
        <f t="shared" si="49"/>
        <v>1.33</v>
      </c>
      <c r="N67" s="9" t="str">
        <f t="shared" si="50"/>
        <v>3.73</v>
      </c>
      <c r="O67" s="9" t="str">
        <f t="shared" si="51"/>
        <v>1.00</v>
      </c>
      <c r="P67" s="9" t="str">
        <f t="shared" si="52"/>
        <v>0.862</v>
      </c>
      <c r="R67" s="22" t="s">
        <v>66</v>
      </c>
      <c r="S67" s="9">
        <v>0.08</v>
      </c>
      <c r="T67" s="9">
        <v>-0.14000000000000001</v>
      </c>
      <c r="U67" s="9">
        <v>0.08</v>
      </c>
      <c r="V67" s="9">
        <v>0.3</v>
      </c>
      <c r="W67" s="9">
        <v>0.08</v>
      </c>
      <c r="X67" s="9">
        <v>0.112</v>
      </c>
    </row>
    <row r="68" spans="1:24" x14ac:dyDescent="0.15">
      <c r="J68" s="9" t="s">
        <v>9</v>
      </c>
      <c r="K68" s="9" t="str">
        <f>TEXT(ROUND(H58,2), "0.00")</f>
        <v>257.18</v>
      </c>
      <c r="R68" s="22" t="s">
        <v>67</v>
      </c>
      <c r="S68" s="9">
        <v>-0.26</v>
      </c>
      <c r="T68" s="9">
        <v>-0.41</v>
      </c>
      <c r="U68" s="9">
        <v>-0.26</v>
      </c>
      <c r="V68" s="9">
        <v>-0.12</v>
      </c>
      <c r="W68" s="9">
        <v>-0.26</v>
      </c>
      <c r="X68" s="9">
        <v>7.3999999999999996E-2</v>
      </c>
    </row>
    <row r="69" spans="1:24" x14ac:dyDescent="0.15">
      <c r="R69" s="22" t="s">
        <v>64</v>
      </c>
      <c r="S69" s="9">
        <v>518.94000000000005</v>
      </c>
      <c r="T69" s="9">
        <v>47.28</v>
      </c>
      <c r="U69" s="9">
        <v>314.35000000000002</v>
      </c>
      <c r="V69" s="9">
        <v>2261.81</v>
      </c>
      <c r="W69" s="9">
        <v>122.5</v>
      </c>
      <c r="X69" s="9">
        <v>684.74300000000005</v>
      </c>
    </row>
    <row r="70" spans="1:24" x14ac:dyDescent="0.15">
      <c r="R70" s="22" t="s">
        <v>20</v>
      </c>
      <c r="S70" s="9">
        <v>1.44</v>
      </c>
      <c r="T70" s="9">
        <v>0.34</v>
      </c>
      <c r="U70" s="9">
        <v>1.22</v>
      </c>
      <c r="V70" s="9">
        <v>3.77</v>
      </c>
      <c r="W70" s="9">
        <v>0.85</v>
      </c>
      <c r="X70" s="9">
        <v>0.90900000000000003</v>
      </c>
    </row>
    <row r="71" spans="1:24" x14ac:dyDescent="0.15">
      <c r="R71" s="24" t="s">
        <v>9</v>
      </c>
      <c r="S71" s="21">
        <v>256.33999999999997</v>
      </c>
      <c r="T71" s="21"/>
      <c r="U71" s="21"/>
      <c r="V71" s="21"/>
      <c r="W71" s="21"/>
      <c r="X71" s="21"/>
    </row>
    <row r="72" spans="1:24" x14ac:dyDescent="0.15">
      <c r="R72" s="22" t="s">
        <v>128</v>
      </c>
    </row>
  </sheetData>
  <mergeCells count="2">
    <mergeCell ref="AA13:AC13"/>
    <mergeCell ref="AA47:AC47"/>
  </mergeCells>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BDE70-D1DC-7543-8E8F-740F8C9E4CD1}">
  <dimension ref="A1:AP72"/>
  <sheetViews>
    <sheetView topLeftCell="V30" zoomScale="90" workbookViewId="0">
      <selection activeCell="AK40" sqref="AK40"/>
    </sheetView>
  </sheetViews>
  <sheetFormatPr baseColWidth="10" defaultRowHeight="14" x14ac:dyDescent="0.15"/>
  <cols>
    <col min="1" max="25" width="10.83203125" style="9"/>
    <col min="26" max="26" width="10.83203125" style="9" customWidth="1"/>
    <col min="27" max="27" width="29.33203125" style="22" hidden="1" customWidth="1"/>
    <col min="28" max="28" width="8.83203125" style="9" hidden="1" customWidth="1"/>
    <col min="29" max="29" width="13.83203125" style="9" hidden="1" customWidth="1"/>
    <col min="30" max="30" width="8.83203125" style="9" hidden="1" customWidth="1"/>
    <col min="31" max="31" width="14.83203125" style="9" hidden="1" customWidth="1"/>
    <col min="32" max="32" width="8.83203125" style="9" hidden="1" customWidth="1"/>
    <col min="33" max="33" width="9.83203125" style="9" hidden="1" customWidth="1"/>
    <col min="34" max="34" width="0" style="9" hidden="1" customWidth="1"/>
    <col min="35" max="35" width="10.83203125" style="9"/>
    <col min="36" max="36" width="32" style="9" customWidth="1"/>
    <col min="37" max="39" width="25.6640625" style="9" bestFit="1" customWidth="1"/>
    <col min="40" max="41" width="24.1640625" style="9" bestFit="1" customWidth="1"/>
    <col min="42" max="16384" width="10.83203125" style="9"/>
  </cols>
  <sheetData>
    <row r="1" spans="1:42" x14ac:dyDescent="0.15">
      <c r="A1" s="18" t="s">
        <v>78</v>
      </c>
      <c r="J1" s="18" t="s">
        <v>79</v>
      </c>
      <c r="AA1" s="18" t="s">
        <v>80</v>
      </c>
      <c r="AJ1" s="31" t="s">
        <v>170</v>
      </c>
      <c r="AK1" s="32"/>
      <c r="AL1" s="32"/>
      <c r="AM1" s="9" t="s">
        <v>146</v>
      </c>
      <c r="AN1" s="31" t="s">
        <v>166</v>
      </c>
      <c r="AO1" s="32"/>
      <c r="AP1" s="32"/>
    </row>
    <row r="2" spans="1:42" x14ac:dyDescent="0.15">
      <c r="A2" s="9" t="s">
        <v>2</v>
      </c>
      <c r="B2" s="9" t="s">
        <v>3</v>
      </c>
      <c r="C2" s="9" t="s">
        <v>4</v>
      </c>
      <c r="D2" s="9" t="s">
        <v>5</v>
      </c>
      <c r="E2" s="9" t="s">
        <v>6</v>
      </c>
      <c r="F2" s="9" t="s">
        <v>7</v>
      </c>
      <c r="G2" s="9" t="s">
        <v>8</v>
      </c>
      <c r="H2" s="9" t="s">
        <v>9</v>
      </c>
      <c r="J2" s="9" t="s">
        <v>2</v>
      </c>
      <c r="K2" s="9" t="s">
        <v>3</v>
      </c>
      <c r="L2" s="9" t="s">
        <v>4</v>
      </c>
      <c r="M2" s="9" t="s">
        <v>5</v>
      </c>
      <c r="N2" s="9" t="s">
        <v>6</v>
      </c>
      <c r="O2" s="9" t="s">
        <v>7</v>
      </c>
      <c r="P2" s="9" t="s">
        <v>8</v>
      </c>
      <c r="Q2" s="9" t="s">
        <v>9</v>
      </c>
      <c r="S2" s="9" t="s">
        <v>2</v>
      </c>
      <c r="T2" s="9" t="s">
        <v>3</v>
      </c>
      <c r="U2" s="9" t="s">
        <v>4</v>
      </c>
      <c r="V2" s="9" t="s">
        <v>5</v>
      </c>
      <c r="W2" s="9" t="s">
        <v>6</v>
      </c>
      <c r="X2" s="9" t="s">
        <v>7</v>
      </c>
      <c r="Y2" s="9" t="s">
        <v>8</v>
      </c>
      <c r="AA2" s="26" t="s">
        <v>71</v>
      </c>
      <c r="AB2" s="20" t="s">
        <v>3</v>
      </c>
      <c r="AC2" s="20" t="s">
        <v>4</v>
      </c>
      <c r="AD2" s="20" t="s">
        <v>5</v>
      </c>
      <c r="AE2" s="20" t="s">
        <v>6</v>
      </c>
      <c r="AF2" s="20" t="s">
        <v>7</v>
      </c>
      <c r="AG2" s="20" t="s">
        <v>8</v>
      </c>
      <c r="AJ2" s="33"/>
      <c r="AK2" s="34" t="s">
        <v>168</v>
      </c>
      <c r="AL2" s="34" t="s">
        <v>167</v>
      </c>
      <c r="AN2" s="34" t="s">
        <v>124</v>
      </c>
      <c r="AO2" s="34" t="s">
        <v>124</v>
      </c>
      <c r="AP2" s="34" t="s">
        <v>124</v>
      </c>
    </row>
    <row r="3" spans="1:42" ht="16" x14ac:dyDescent="0.2">
      <c r="A3" s="1" t="s">
        <v>12</v>
      </c>
      <c r="B3" s="1">
        <v>0.61884109355618599</v>
      </c>
      <c r="C3" s="1">
        <v>0.29329182822695998</v>
      </c>
      <c r="D3" s="1">
        <v>0.61810398375655595</v>
      </c>
      <c r="E3" s="1">
        <v>0.94862684742802805</v>
      </c>
      <c r="F3" s="1">
        <v>0.618113370745772</v>
      </c>
      <c r="G3" s="1">
        <v>0.167031586703557</v>
      </c>
      <c r="H3" s="1">
        <v>329.87965647219897</v>
      </c>
      <c r="J3" s="10" t="s">
        <v>12</v>
      </c>
      <c r="K3" s="10">
        <f>EXP(B3)</f>
        <v>1.8567749660077679</v>
      </c>
      <c r="L3" s="10">
        <f t="shared" ref="L3:P7" si="0">EXP(C3)</f>
        <v>1.3408340265586505</v>
      </c>
      <c r="M3" s="10">
        <f t="shared" si="0"/>
        <v>1.8554068232822674</v>
      </c>
      <c r="N3" s="10">
        <f t="shared" si="0"/>
        <v>2.5821615220711909</v>
      </c>
      <c r="O3" s="10">
        <f t="shared" si="0"/>
        <v>1.8554242400478542</v>
      </c>
      <c r="P3" s="10">
        <f t="shared" si="0"/>
        <v>1.1817915936195531</v>
      </c>
      <c r="Q3" s="10">
        <f>H3</f>
        <v>329.87965647219897</v>
      </c>
      <c r="S3" s="9" t="s">
        <v>12</v>
      </c>
      <c r="T3" s="9" t="str">
        <f>TEXT(ROUND(K3,2), "0.00")</f>
        <v>1.86</v>
      </c>
      <c r="U3" s="9" t="str">
        <f>TEXT(ROUND(L3,2), "0.00")</f>
        <v>1.34</v>
      </c>
      <c r="V3" s="9" t="str">
        <f>TEXT(ROUND(M3,2), "0.00")</f>
        <v>1.86</v>
      </c>
      <c r="W3" s="9" t="str">
        <f>TEXT(ROUND(N3,2), "0.00")</f>
        <v>2.58</v>
      </c>
      <c r="X3" s="9" t="str">
        <f>TEXT(ROUND(O3,2), "0.00")</f>
        <v>1.86</v>
      </c>
      <c r="Y3" s="9" t="str">
        <f>TEXT(ROUND(P3,3), "0.000")</f>
        <v>1.182</v>
      </c>
      <c r="AA3" s="22" t="s">
        <v>12</v>
      </c>
      <c r="AB3" s="9">
        <v>1.86</v>
      </c>
      <c r="AC3" s="9">
        <v>1.34</v>
      </c>
      <c r="AD3" s="9">
        <v>1.86</v>
      </c>
      <c r="AE3" s="9">
        <v>2.58</v>
      </c>
      <c r="AF3" s="9">
        <v>1.86</v>
      </c>
      <c r="AG3" s="9">
        <v>1.1819999999999999</v>
      </c>
      <c r="AJ3" s="35"/>
      <c r="AK3" s="36" t="s">
        <v>171</v>
      </c>
      <c r="AL3" s="36" t="s">
        <v>171</v>
      </c>
      <c r="AN3" s="36" t="s">
        <v>132</v>
      </c>
      <c r="AO3" s="36" t="s">
        <v>132</v>
      </c>
      <c r="AP3" s="36" t="s">
        <v>132</v>
      </c>
    </row>
    <row r="4" spans="1:42" ht="16" x14ac:dyDescent="0.2">
      <c r="A4" s="1" t="s">
        <v>13</v>
      </c>
      <c r="B4" s="1">
        <v>0.60532096799655499</v>
      </c>
      <c r="C4" s="1">
        <v>0.27227053022069497</v>
      </c>
      <c r="D4" s="1">
        <v>0.60426064824570502</v>
      </c>
      <c r="E4" s="1">
        <v>0.94447670790079796</v>
      </c>
      <c r="F4" s="1">
        <v>0.60427704199895405</v>
      </c>
      <c r="G4" s="1">
        <v>0.17131753693203</v>
      </c>
      <c r="H4" s="1">
        <v>329.87965647219897</v>
      </c>
      <c r="J4" s="10" t="s">
        <v>13</v>
      </c>
      <c r="K4" s="10">
        <f t="shared" ref="K4:K7" si="1">EXP(B4)</f>
        <v>1.8318400765767568</v>
      </c>
      <c r="L4" s="10">
        <f t="shared" si="0"/>
        <v>1.3129421437984761</v>
      </c>
      <c r="M4" s="10">
        <f t="shared" si="0"/>
        <v>1.8298987697480311</v>
      </c>
      <c r="N4" s="10">
        <f t="shared" si="0"/>
        <v>2.5714673978758404</v>
      </c>
      <c r="O4" s="10">
        <f t="shared" si="0"/>
        <v>1.8299287689028318</v>
      </c>
      <c r="P4" s="10">
        <f t="shared" si="0"/>
        <v>1.1868675634771249</v>
      </c>
      <c r="Q4" s="10">
        <f t="shared" ref="Q4:Q9" si="2">H4</f>
        <v>329.87965647219897</v>
      </c>
      <c r="S4" s="9" t="s">
        <v>13</v>
      </c>
      <c r="T4" s="9" t="str">
        <f t="shared" ref="T4:X9" si="3">TEXT(ROUND(K4,2), "0.00")</f>
        <v>1.83</v>
      </c>
      <c r="U4" s="9" t="str">
        <f t="shared" si="3"/>
        <v>1.31</v>
      </c>
      <c r="V4" s="9" t="str">
        <f t="shared" si="3"/>
        <v>1.83</v>
      </c>
      <c r="W4" s="9" t="str">
        <f t="shared" si="3"/>
        <v>2.57</v>
      </c>
      <c r="X4" s="9" t="str">
        <f t="shared" si="3"/>
        <v>1.83</v>
      </c>
      <c r="Y4" s="9" t="str">
        <f t="shared" ref="Y4:Y9" si="4">TEXT(ROUND(P4,3), "0.000")</f>
        <v>1.187</v>
      </c>
      <c r="AA4" s="22" t="s">
        <v>13</v>
      </c>
      <c r="AB4" s="9">
        <v>1.83</v>
      </c>
      <c r="AC4" s="9">
        <v>1.31</v>
      </c>
      <c r="AD4" s="9">
        <v>1.83</v>
      </c>
      <c r="AE4" s="9">
        <v>2.57</v>
      </c>
      <c r="AF4" s="9">
        <v>1.83</v>
      </c>
      <c r="AG4" s="9">
        <v>1.1870000000000001</v>
      </c>
      <c r="AJ4" s="37" t="s">
        <v>12</v>
      </c>
      <c r="AK4" s="38" t="str">
        <f>CONCATENATE(V3, " (", U3, "–", W3, ")")</f>
        <v>1.86 (1.34–2.58)</v>
      </c>
      <c r="AL4" s="39" t="s">
        <v>119</v>
      </c>
      <c r="AN4" s="40" t="s">
        <v>119</v>
      </c>
      <c r="AO4" s="40" t="s">
        <v>119</v>
      </c>
      <c r="AP4" s="40" t="s">
        <v>119</v>
      </c>
    </row>
    <row r="5" spans="1:42" ht="16" x14ac:dyDescent="0.2">
      <c r="A5" s="1" t="s">
        <v>14</v>
      </c>
      <c r="B5" s="1">
        <v>-1.4430890464948001</v>
      </c>
      <c r="C5" s="1">
        <v>-2.73220031035456</v>
      </c>
      <c r="D5" s="1">
        <v>-1.4420701824006801</v>
      </c>
      <c r="E5" s="1">
        <v>-0.15980820442090199</v>
      </c>
      <c r="F5" s="1">
        <v>-1.4420746001617299</v>
      </c>
      <c r="G5" s="1">
        <v>0.65583811717305296</v>
      </c>
      <c r="H5" s="1">
        <v>329.87965647219897</v>
      </c>
      <c r="J5" s="10" t="s">
        <v>14</v>
      </c>
      <c r="K5" s="10">
        <f t="shared" si="1"/>
        <v>0.23619700706358873</v>
      </c>
      <c r="L5" s="10">
        <f t="shared" si="0"/>
        <v>6.5075944749240444E-2</v>
      </c>
      <c r="M5" s="10">
        <f t="shared" si="0"/>
        <v>0.23643778235104324</v>
      </c>
      <c r="N5" s="10">
        <f t="shared" si="0"/>
        <v>0.8523072420519795</v>
      </c>
      <c r="O5" s="10">
        <f t="shared" si="0"/>
        <v>0.2364367378277249</v>
      </c>
      <c r="P5" s="10">
        <f t="shared" si="0"/>
        <v>1.9267566887186229</v>
      </c>
      <c r="Q5" s="10">
        <f t="shared" si="2"/>
        <v>329.87965647219897</v>
      </c>
      <c r="S5" s="9" t="s">
        <v>14</v>
      </c>
      <c r="T5" s="9" t="str">
        <f t="shared" si="3"/>
        <v>0.24</v>
      </c>
      <c r="U5" s="9" t="str">
        <f t="shared" si="3"/>
        <v>0.07</v>
      </c>
      <c r="V5" s="9" t="str">
        <f t="shared" si="3"/>
        <v>0.24</v>
      </c>
      <c r="W5" s="9" t="str">
        <f t="shared" si="3"/>
        <v>0.85</v>
      </c>
      <c r="X5" s="9" t="str">
        <f t="shared" si="3"/>
        <v>0.24</v>
      </c>
      <c r="Y5" s="9" t="str">
        <f t="shared" si="4"/>
        <v>1.927</v>
      </c>
      <c r="AA5" s="22" t="s">
        <v>65</v>
      </c>
      <c r="AB5" s="9">
        <v>0.24</v>
      </c>
      <c r="AC5" s="9">
        <v>7.0000000000000007E-2</v>
      </c>
      <c r="AD5" s="9">
        <v>0.24</v>
      </c>
      <c r="AE5" s="9">
        <v>0.85</v>
      </c>
      <c r="AF5" s="9">
        <v>0.24</v>
      </c>
      <c r="AG5" s="9">
        <v>1.927</v>
      </c>
      <c r="AJ5" s="37" t="s">
        <v>13</v>
      </c>
      <c r="AK5" s="38" t="str">
        <f>CONCATENATE(V4, " (", U4, "–", W4, ")")</f>
        <v>1.83 (1.31–2.57)</v>
      </c>
      <c r="AL5" s="39" t="s">
        <v>119</v>
      </c>
      <c r="AN5" s="39" t="s">
        <v>119</v>
      </c>
      <c r="AO5" s="39" t="s">
        <v>119</v>
      </c>
      <c r="AP5" s="39" t="s">
        <v>119</v>
      </c>
    </row>
    <row r="6" spans="1:42" ht="16" x14ac:dyDescent="0.2">
      <c r="A6" s="1" t="s">
        <v>15</v>
      </c>
      <c r="B6" s="1">
        <v>-0.47532327601791102</v>
      </c>
      <c r="C6" s="1">
        <v>-1.1574214435746799</v>
      </c>
      <c r="D6" s="1">
        <v>-0.47473554786038002</v>
      </c>
      <c r="E6" s="1">
        <v>0.20337518582563299</v>
      </c>
      <c r="F6" s="1">
        <v>-0.47474938708539399</v>
      </c>
      <c r="G6" s="1">
        <v>0.346884951166189</v>
      </c>
      <c r="H6" s="1">
        <v>329.87965647219897</v>
      </c>
      <c r="J6" s="10" t="s">
        <v>15</v>
      </c>
      <c r="K6" s="10">
        <f t="shared" si="1"/>
        <v>0.62168404843265634</v>
      </c>
      <c r="L6" s="10">
        <f t="shared" si="0"/>
        <v>0.31429556576239692</v>
      </c>
      <c r="M6" s="10">
        <f t="shared" si="0"/>
        <v>0.62204953704646215</v>
      </c>
      <c r="N6" s="10">
        <f t="shared" si="0"/>
        <v>1.2255321843070408</v>
      </c>
      <c r="O6" s="10">
        <f t="shared" si="0"/>
        <v>0.62204092842251768</v>
      </c>
      <c r="P6" s="10">
        <f t="shared" si="0"/>
        <v>1.4146539617191822</v>
      </c>
      <c r="Q6" s="10">
        <f t="shared" si="2"/>
        <v>329.87965647219897</v>
      </c>
      <c r="S6" s="9" t="s">
        <v>15</v>
      </c>
      <c r="T6" s="9" t="str">
        <f t="shared" si="3"/>
        <v>0.62</v>
      </c>
      <c r="U6" s="9" t="str">
        <f t="shared" si="3"/>
        <v>0.31</v>
      </c>
      <c r="V6" s="9" t="str">
        <f t="shared" si="3"/>
        <v>0.62</v>
      </c>
      <c r="W6" s="9" t="str">
        <f t="shared" si="3"/>
        <v>1.23</v>
      </c>
      <c r="X6" s="9" t="str">
        <f t="shared" si="3"/>
        <v>0.62</v>
      </c>
      <c r="Y6" s="9" t="str">
        <f t="shared" si="4"/>
        <v>1.415</v>
      </c>
      <c r="AA6" s="22" t="s">
        <v>70</v>
      </c>
      <c r="AB6" s="9">
        <v>0.62</v>
      </c>
      <c r="AC6" s="9">
        <v>0.31</v>
      </c>
      <c r="AD6" s="9">
        <v>0.62</v>
      </c>
      <c r="AE6" s="9">
        <v>1.23</v>
      </c>
      <c r="AF6" s="9">
        <v>0.62</v>
      </c>
      <c r="AG6" s="9">
        <v>1.415</v>
      </c>
      <c r="AJ6" s="37" t="s">
        <v>65</v>
      </c>
      <c r="AK6" s="38" t="str">
        <f>CONCATENATE(V5, " (", U5, "–", W5, ")")</f>
        <v>0.24 (0.07–0.85)</v>
      </c>
      <c r="AL6" s="38" t="str">
        <f>CONCATENATE(V13, " (", U13, "–", W13, ")")</f>
        <v>1.65 (0.29–9.40)</v>
      </c>
      <c r="AN6" s="40" t="s">
        <v>119</v>
      </c>
      <c r="AO6" s="40" t="s">
        <v>119</v>
      </c>
      <c r="AP6" s="40" t="s">
        <v>119</v>
      </c>
    </row>
    <row r="7" spans="1:42" ht="16" x14ac:dyDescent="0.2">
      <c r="A7" s="1" t="s">
        <v>16</v>
      </c>
      <c r="B7" s="1">
        <v>1.6342748467531401</v>
      </c>
      <c r="C7" s="1">
        <v>0.14966247275245001</v>
      </c>
      <c r="D7" s="1">
        <v>1.6338097228744</v>
      </c>
      <c r="E7" s="1">
        <v>3.1215497907319301</v>
      </c>
      <c r="F7" s="1">
        <v>1.6338120177647999</v>
      </c>
      <c r="G7" s="1">
        <v>0.75770130297253602</v>
      </c>
      <c r="H7" s="1">
        <v>329.87965647219897</v>
      </c>
      <c r="J7" s="10" t="s">
        <v>16</v>
      </c>
      <c r="K7" s="10">
        <f t="shared" si="1"/>
        <v>5.125739702235693</v>
      </c>
      <c r="L7" s="10">
        <f t="shared" si="0"/>
        <v>1.161442158187556</v>
      </c>
      <c r="M7" s="10">
        <f t="shared" si="0"/>
        <v>5.1233561526698583</v>
      </c>
      <c r="N7" s="10">
        <f t="shared" si="0"/>
        <v>22.681504003131632</v>
      </c>
      <c r="O7" s="10">
        <f t="shared" si="0"/>
        <v>5.1233679102242</v>
      </c>
      <c r="P7" s="10">
        <f t="shared" si="0"/>
        <v>2.133366616313003</v>
      </c>
      <c r="Q7" s="10">
        <f t="shared" si="2"/>
        <v>329.87965647219897</v>
      </c>
      <c r="S7" s="9" t="s">
        <v>16</v>
      </c>
      <c r="T7" s="9" t="str">
        <f t="shared" si="3"/>
        <v>5.13</v>
      </c>
      <c r="U7" s="9" t="str">
        <f t="shared" si="3"/>
        <v>1.16</v>
      </c>
      <c r="V7" s="9" t="str">
        <f t="shared" si="3"/>
        <v>5.12</v>
      </c>
      <c r="W7" s="9" t="str">
        <f t="shared" si="3"/>
        <v>22.68</v>
      </c>
      <c r="X7" s="9" t="str">
        <f t="shared" si="3"/>
        <v>5.12</v>
      </c>
      <c r="Y7" s="9" t="str">
        <f t="shared" si="4"/>
        <v>2.133</v>
      </c>
      <c r="AA7" s="22" t="s">
        <v>67</v>
      </c>
      <c r="AB7" s="9">
        <v>5.13</v>
      </c>
      <c r="AC7" s="9">
        <v>1.1599999999999999</v>
      </c>
      <c r="AD7" s="9">
        <v>5.12</v>
      </c>
      <c r="AE7" s="9">
        <v>22.68</v>
      </c>
      <c r="AF7" s="9">
        <v>5.12</v>
      </c>
      <c r="AG7" s="9">
        <v>2.133</v>
      </c>
      <c r="AJ7" s="32" t="s">
        <v>70</v>
      </c>
      <c r="AK7" s="38" t="str">
        <f>CONCATENATE(V6, " (", U6, "–", W6, ")")</f>
        <v>0.62 (0.31–1.23)</v>
      </c>
      <c r="AL7" s="38" t="str">
        <f>CONCATENATE(V14, " (", U14, "–", W14, ")")</f>
        <v>0.07 (0.01–0.62)</v>
      </c>
      <c r="AN7" s="39" t="s">
        <v>119</v>
      </c>
      <c r="AO7" s="39" t="s">
        <v>119</v>
      </c>
      <c r="AP7" s="39" t="s">
        <v>119</v>
      </c>
    </row>
    <row r="8" spans="1:42" ht="16" x14ac:dyDescent="0.2">
      <c r="A8" s="1" t="s">
        <v>19</v>
      </c>
      <c r="B8" s="1">
        <v>3468.4689758119598</v>
      </c>
      <c r="C8" s="1">
        <v>1235.12896633789</v>
      </c>
      <c r="D8" s="1">
        <v>3035.35316939416</v>
      </c>
      <c r="E8" s="1">
        <v>8292.7284207474895</v>
      </c>
      <c r="F8" s="1">
        <v>2356.0853235955901</v>
      </c>
      <c r="G8" s="1">
        <v>1856.7314607498099</v>
      </c>
      <c r="H8" s="1">
        <v>329.87965647219897</v>
      </c>
      <c r="J8" s="10" t="s">
        <v>19</v>
      </c>
      <c r="K8" s="10">
        <v>3468.4689758119598</v>
      </c>
      <c r="L8" s="10">
        <v>1235.12896633789</v>
      </c>
      <c r="M8" s="10">
        <v>3035.35316939416</v>
      </c>
      <c r="N8" s="10">
        <v>8292.7284207474895</v>
      </c>
      <c r="O8" s="10">
        <v>2356.0853235955901</v>
      </c>
      <c r="P8" s="10">
        <v>1856.7314607498099</v>
      </c>
      <c r="Q8" s="10">
        <f t="shared" si="2"/>
        <v>329.87965647219897</v>
      </c>
      <c r="S8" s="9" t="s">
        <v>19</v>
      </c>
      <c r="T8" s="9" t="str">
        <f t="shared" si="3"/>
        <v>3468.47</v>
      </c>
      <c r="U8" s="9" t="str">
        <f t="shared" si="3"/>
        <v>1235.13</v>
      </c>
      <c r="V8" s="9" t="str">
        <f t="shared" si="3"/>
        <v>3035.35</v>
      </c>
      <c r="W8" s="9" t="str">
        <f t="shared" si="3"/>
        <v>8292.73</v>
      </c>
      <c r="X8" s="9" t="str">
        <f t="shared" si="3"/>
        <v>2356.09</v>
      </c>
      <c r="Y8" s="9" t="str">
        <f t="shared" si="4"/>
        <v>1856.731</v>
      </c>
      <c r="AA8" s="22" t="s">
        <v>64</v>
      </c>
      <c r="AB8" s="9">
        <v>3468.47</v>
      </c>
      <c r="AC8" s="9">
        <v>1235.1300000000001</v>
      </c>
      <c r="AD8" s="9">
        <v>3035.35</v>
      </c>
      <c r="AE8" s="9">
        <v>8292.73</v>
      </c>
      <c r="AF8" s="9">
        <v>2356.09</v>
      </c>
      <c r="AG8" s="9">
        <v>1856.731</v>
      </c>
      <c r="AJ8" s="37" t="s">
        <v>67</v>
      </c>
      <c r="AK8" s="38" t="str">
        <f>CONCATENATE(V7, " (", U7, "–", W7, ")")</f>
        <v>5.12 (1.16–22.68)</v>
      </c>
      <c r="AL8" s="40" t="s">
        <v>119</v>
      </c>
      <c r="AN8" s="39" t="str">
        <f>CONCATENATE(V18, " (", U18, "–", W18, ")")</f>
        <v>0.70 (0.51–0.96)</v>
      </c>
      <c r="AO8" s="39" t="s">
        <v>119</v>
      </c>
      <c r="AP8" s="39" t="s">
        <v>119</v>
      </c>
    </row>
    <row r="9" spans="1:42" ht="16" x14ac:dyDescent="0.2">
      <c r="A9" s="1" t="s">
        <v>20</v>
      </c>
      <c r="B9" s="1">
        <v>1.0980550475850199</v>
      </c>
      <c r="C9" s="1">
        <v>0.63607989928046205</v>
      </c>
      <c r="D9" s="1">
        <v>1.06536389493488</v>
      </c>
      <c r="E9" s="1">
        <v>1.74827179198467</v>
      </c>
      <c r="F9" s="1">
        <v>1.00521352778506</v>
      </c>
      <c r="G9" s="1">
        <v>0.284543473080278</v>
      </c>
      <c r="H9" s="1">
        <v>329.87965647219897</v>
      </c>
      <c r="J9" s="10" t="s">
        <v>20</v>
      </c>
      <c r="K9" s="10">
        <f>EXP(B9)</f>
        <v>2.9983287424406631</v>
      </c>
      <c r="L9" s="10">
        <f t="shared" ref="L9:P9" si="5">EXP(C9)</f>
        <v>1.889061036013753</v>
      </c>
      <c r="M9" s="10">
        <f>EXP(D9)</f>
        <v>2.9018947767599932</v>
      </c>
      <c r="N9" s="10">
        <f t="shared" si="5"/>
        <v>5.7446661142319986</v>
      </c>
      <c r="O9" s="10">
        <f t="shared" si="5"/>
        <v>2.7324906732187633</v>
      </c>
      <c r="P9" s="10">
        <f t="shared" si="5"/>
        <v>1.3291550945101194</v>
      </c>
      <c r="Q9" s="10">
        <f t="shared" si="2"/>
        <v>329.87965647219897</v>
      </c>
      <c r="S9" s="9" t="s">
        <v>20</v>
      </c>
      <c r="T9" s="9" t="str">
        <f t="shared" si="3"/>
        <v>3.00</v>
      </c>
      <c r="U9" s="9" t="str">
        <f t="shared" si="3"/>
        <v>1.89</v>
      </c>
      <c r="V9" s="9" t="str">
        <f>TEXT(ROUND(M9,2), "0.00")</f>
        <v>2.90</v>
      </c>
      <c r="W9" s="9" t="str">
        <f t="shared" si="3"/>
        <v>5.74</v>
      </c>
      <c r="X9" s="9" t="str">
        <f t="shared" si="3"/>
        <v>2.73</v>
      </c>
      <c r="Y9" s="9" t="str">
        <f t="shared" si="4"/>
        <v>1.329</v>
      </c>
      <c r="AA9" s="22" t="s">
        <v>20</v>
      </c>
      <c r="AB9" s="9">
        <v>1.1000000000000001</v>
      </c>
      <c r="AC9" s="9">
        <v>0.64</v>
      </c>
      <c r="AD9" s="9">
        <v>1.07</v>
      </c>
      <c r="AE9" s="9">
        <v>1.75</v>
      </c>
      <c r="AF9" s="9">
        <v>1.01</v>
      </c>
      <c r="AG9" s="9">
        <v>0.28499999999999998</v>
      </c>
      <c r="AJ9" s="37" t="s">
        <v>169</v>
      </c>
      <c r="AK9" s="38" t="str">
        <f>CONCATENATE(V9, " (", U9, "–", W9, ")")</f>
        <v>2.90 (1.89–5.74)</v>
      </c>
      <c r="AL9" s="39" t="s">
        <v>119</v>
      </c>
      <c r="AN9" s="39" t="s">
        <v>119</v>
      </c>
      <c r="AO9" s="39" t="str">
        <f>CONCATENATE(V22, " (", U22, "–", W22, ")")</f>
        <v>0.38 (0.20–0.73)</v>
      </c>
      <c r="AP9" s="39" t="s">
        <v>119</v>
      </c>
    </row>
    <row r="10" spans="1:42" ht="15" x14ac:dyDescent="0.15">
      <c r="S10" s="9" t="s">
        <v>9</v>
      </c>
      <c r="T10" s="9" t="str">
        <f>TEXT(ROUND(Q9,2), "0.00")</f>
        <v>329.88</v>
      </c>
      <c r="AA10" s="22" t="s">
        <v>9</v>
      </c>
      <c r="AB10" s="9">
        <v>329.88</v>
      </c>
      <c r="AJ10" s="37" t="s">
        <v>173</v>
      </c>
      <c r="AK10" s="38" t="str">
        <f>CONCATENATE(V8, " (", U8, "–", W8, ")")</f>
        <v>3035.35 (1235.13–8292.73)</v>
      </c>
      <c r="AL10" s="39" t="s">
        <v>119</v>
      </c>
      <c r="AN10" s="40" t="s">
        <v>119</v>
      </c>
      <c r="AO10" s="40" t="s">
        <v>119</v>
      </c>
      <c r="AP10" s="40" t="str">
        <f>CONCATENATE(V26, " (", U26, "–", W26, ")")</f>
        <v>0.46 (0.24–0.87)</v>
      </c>
    </row>
    <row r="11" spans="1:42" ht="15" x14ac:dyDescent="0.15">
      <c r="AJ11" s="41" t="s">
        <v>174</v>
      </c>
      <c r="AK11" s="36" t="str">
        <f>T10</f>
        <v>329.88</v>
      </c>
      <c r="AL11" s="36" t="str">
        <f>T15</f>
        <v>60.09</v>
      </c>
      <c r="AN11" s="39" t="s">
        <v>119</v>
      </c>
      <c r="AO11" s="39" t="s">
        <v>119</v>
      </c>
      <c r="AP11" s="39" t="s">
        <v>119</v>
      </c>
    </row>
    <row r="12" spans="1:42" ht="15" x14ac:dyDescent="0.15">
      <c r="AA12" s="25" t="s">
        <v>72</v>
      </c>
      <c r="AB12" s="21"/>
      <c r="AC12" s="21"/>
      <c r="AD12" s="21"/>
      <c r="AE12" s="21"/>
      <c r="AF12" s="21"/>
      <c r="AG12" s="21"/>
      <c r="AJ12" s="32" t="s">
        <v>193</v>
      </c>
      <c r="AK12" s="32"/>
      <c r="AL12" s="32"/>
      <c r="AN12" s="39" t="s">
        <v>119</v>
      </c>
      <c r="AO12" s="39" t="s">
        <v>119</v>
      </c>
      <c r="AP12" s="39" t="s">
        <v>119</v>
      </c>
    </row>
    <row r="13" spans="1:42" ht="15" x14ac:dyDescent="0.15">
      <c r="A13" s="148" t="s">
        <v>14</v>
      </c>
      <c r="B13" s="148">
        <v>0.50236620049138303</v>
      </c>
      <c r="C13" s="148">
        <v>-1.23545002347897</v>
      </c>
      <c r="D13" s="148">
        <v>0.50236620049138303</v>
      </c>
      <c r="E13" s="148">
        <v>2.2401824244617399</v>
      </c>
      <c r="F13" s="148">
        <v>0.50236620049138303</v>
      </c>
      <c r="G13" s="148">
        <v>0.88665722313166495</v>
      </c>
      <c r="H13" s="148">
        <v>60.086264782178098</v>
      </c>
      <c r="J13" s="11" t="s">
        <v>14</v>
      </c>
      <c r="K13" s="11">
        <f>EXP(B13)</f>
        <v>1.6526270949402693</v>
      </c>
      <c r="L13" s="11">
        <f t="shared" ref="L13:P14" si="6">EXP(C13)</f>
        <v>0.29070390934196072</v>
      </c>
      <c r="M13" s="11">
        <f t="shared" si="6"/>
        <v>1.6526270949402693</v>
      </c>
      <c r="N13" s="11">
        <f t="shared" si="6"/>
        <v>9.395045017155196</v>
      </c>
      <c r="O13" s="11">
        <f t="shared" si="6"/>
        <v>1.6526270949402693</v>
      </c>
      <c r="P13" s="11">
        <f t="shared" si="6"/>
        <v>2.4270031463337753</v>
      </c>
      <c r="Q13" s="11">
        <f>H13</f>
        <v>60.086264782178098</v>
      </c>
      <c r="S13" s="9" t="s">
        <v>14</v>
      </c>
      <c r="T13" s="9" t="str">
        <f>TEXT(ROUND(K13,2), "0.00")</f>
        <v>1.65</v>
      </c>
      <c r="U13" s="9" t="str">
        <f t="shared" ref="U13:X14" si="7">TEXT(ROUND(L13,2), "0.00")</f>
        <v>0.29</v>
      </c>
      <c r="V13" s="9" t="str">
        <f t="shared" si="7"/>
        <v>1.65</v>
      </c>
      <c r="W13" s="9" t="str">
        <f t="shared" si="7"/>
        <v>9.40</v>
      </c>
      <c r="X13" s="9" t="str">
        <f t="shared" si="7"/>
        <v>1.65</v>
      </c>
      <c r="Y13" s="9" t="str">
        <f>TEXT(ROUND(P13,3), "0.000")</f>
        <v>2.427</v>
      </c>
      <c r="AA13" s="22" t="s">
        <v>14</v>
      </c>
      <c r="AB13" s="9">
        <v>1.1399999999999999</v>
      </c>
      <c r="AC13" s="9">
        <v>0.64</v>
      </c>
      <c r="AD13" s="9">
        <v>1.1399999999999999</v>
      </c>
      <c r="AE13" s="9">
        <v>2</v>
      </c>
      <c r="AF13" s="9">
        <v>1.1399999999999999</v>
      </c>
      <c r="AG13" s="9">
        <v>1.3360000000000001</v>
      </c>
      <c r="AJ13" s="32" t="s">
        <v>177</v>
      </c>
      <c r="AN13" s="39" t="s">
        <v>119</v>
      </c>
      <c r="AO13" s="39" t="s">
        <v>119</v>
      </c>
      <c r="AP13" s="39" t="s">
        <v>119</v>
      </c>
    </row>
    <row r="14" spans="1:42" x14ac:dyDescent="0.15">
      <c r="A14" s="148" t="s">
        <v>15</v>
      </c>
      <c r="B14" s="148">
        <v>-2.6370699832858202</v>
      </c>
      <c r="C14" s="148">
        <v>-4.7954199782484297</v>
      </c>
      <c r="D14" s="148">
        <v>-2.6370699832858202</v>
      </c>
      <c r="E14" s="148">
        <v>-0.478719988323207</v>
      </c>
      <c r="F14" s="148">
        <v>-2.6370699832858202</v>
      </c>
      <c r="G14" s="148">
        <v>1.1012192121831801</v>
      </c>
      <c r="H14" s="148">
        <v>60.086264782178098</v>
      </c>
      <c r="J14" s="11" t="s">
        <v>15</v>
      </c>
      <c r="K14" s="11">
        <f t="shared" ref="K14" si="8">EXP(B14)</f>
        <v>7.1570665886499352E-2</v>
      </c>
      <c r="L14" s="11">
        <f t="shared" si="6"/>
        <v>8.2675259174948192E-3</v>
      </c>
      <c r="M14" s="11">
        <f t="shared" si="6"/>
        <v>7.1570665886499352E-2</v>
      </c>
      <c r="N14" s="11">
        <f t="shared" si="6"/>
        <v>0.61957594890601708</v>
      </c>
      <c r="O14" s="11">
        <f t="shared" si="6"/>
        <v>7.1570665886499352E-2</v>
      </c>
      <c r="P14" s="11">
        <f t="shared" si="6"/>
        <v>3.0078309734846993</v>
      </c>
      <c r="Q14" s="11">
        <f>H14</f>
        <v>60.086264782178098</v>
      </c>
      <c r="S14" s="9" t="s">
        <v>15</v>
      </c>
      <c r="T14" s="9" t="str">
        <f t="shared" ref="T14" si="9">TEXT(ROUND(K14,2), "0.00")</f>
        <v>0.07</v>
      </c>
      <c r="U14" s="9" t="str">
        <f t="shared" si="7"/>
        <v>0.01</v>
      </c>
      <c r="V14" s="9" t="str">
        <f t="shared" si="7"/>
        <v>0.07</v>
      </c>
      <c r="W14" s="9" t="str">
        <f t="shared" si="7"/>
        <v>0.62</v>
      </c>
      <c r="X14" s="9" t="str">
        <f t="shared" si="7"/>
        <v>0.07</v>
      </c>
      <c r="Y14" s="9" t="str">
        <f t="shared" ref="Y14" si="10">TEXT(ROUND(P14,3), "0.000")</f>
        <v>3.008</v>
      </c>
      <c r="AA14" s="22" t="s">
        <v>15</v>
      </c>
      <c r="AB14" s="9">
        <v>0.93</v>
      </c>
      <c r="AC14" s="9">
        <v>0.56000000000000005</v>
      </c>
      <c r="AD14" s="9">
        <v>0.93</v>
      </c>
      <c r="AE14" s="9">
        <v>1.54</v>
      </c>
      <c r="AF14" s="9">
        <v>0.93</v>
      </c>
      <c r="AG14" s="9">
        <v>1.2929999999999999</v>
      </c>
      <c r="AN14" s="36" t="str">
        <f>T19</f>
        <v>339.01</v>
      </c>
      <c r="AO14" s="36" t="str">
        <f>T23</f>
        <v>312.70</v>
      </c>
      <c r="AP14" s="36" t="str">
        <f>T27</f>
        <v>313.10</v>
      </c>
    </row>
    <row r="15" spans="1:42" x14ac:dyDescent="0.15">
      <c r="S15" s="9" t="s">
        <v>9</v>
      </c>
      <c r="T15" s="9" t="str">
        <f>TEXT(ROUND(Q14,2), "0.00")</f>
        <v>60.09</v>
      </c>
      <c r="AA15" s="22" t="s">
        <v>9</v>
      </c>
      <c r="AB15" s="9">
        <v>392.16</v>
      </c>
      <c r="AM15" s="32"/>
      <c r="AN15" s="32"/>
      <c r="AO15" s="32"/>
    </row>
    <row r="16" spans="1:42" x14ac:dyDescent="0.15">
      <c r="AK16" s="32"/>
      <c r="AL16" s="32"/>
      <c r="AM16" s="32"/>
      <c r="AN16" s="32"/>
      <c r="AO16" s="32"/>
    </row>
    <row r="17" spans="1:41" x14ac:dyDescent="0.15">
      <c r="AJ17" s="32"/>
      <c r="AK17" s="32"/>
      <c r="AL17" s="32"/>
      <c r="AM17" s="32"/>
      <c r="AN17" s="32"/>
      <c r="AO17" s="32"/>
    </row>
    <row r="18" spans="1:41" ht="16" x14ac:dyDescent="0.2">
      <c r="A18" s="6" t="s">
        <v>30</v>
      </c>
      <c r="B18" s="6">
        <v>-0.35895579086729001</v>
      </c>
      <c r="C18" s="6">
        <v>-0.67912225653007796</v>
      </c>
      <c r="D18" s="6">
        <v>-0.358277337092963</v>
      </c>
      <c r="E18" s="6">
        <v>-4.2682055166595498E-2</v>
      </c>
      <c r="F18" s="6">
        <v>-0.358283713342121</v>
      </c>
      <c r="G18" s="6">
        <v>0.16223101679291199</v>
      </c>
      <c r="H18" s="6">
        <v>339.01173945267999</v>
      </c>
      <c r="J18" s="12" t="s">
        <v>30</v>
      </c>
      <c r="K18" s="12">
        <f>EXP(B18)</f>
        <v>0.69840522655843174</v>
      </c>
      <c r="L18" s="12">
        <f t="shared" ref="L18:P18" si="11">EXP(C18)</f>
        <v>0.5070618673368783</v>
      </c>
      <c r="M18" s="12">
        <f t="shared" si="11"/>
        <v>0.69887922299455396</v>
      </c>
      <c r="N18" s="12">
        <f t="shared" si="11"/>
        <v>0.95821600146660613</v>
      </c>
      <c r="O18" s="12">
        <f t="shared" si="11"/>
        <v>0.6988747667807037</v>
      </c>
      <c r="P18" s="12">
        <f t="shared" si="11"/>
        <v>1.1761319161623793</v>
      </c>
      <c r="Q18" s="12">
        <f>H18</f>
        <v>339.01173945267999</v>
      </c>
      <c r="S18" s="9" t="s">
        <v>30</v>
      </c>
      <c r="T18" s="9" t="str">
        <f>TEXT(ROUND(K18,2), "0.00")</f>
        <v>0.70</v>
      </c>
      <c r="U18" s="9" t="str">
        <f t="shared" ref="U18:X18" si="12">TEXT(ROUND(L18,2), "0.00")</f>
        <v>0.51</v>
      </c>
      <c r="V18" s="9" t="str">
        <f t="shared" si="12"/>
        <v>0.70</v>
      </c>
      <c r="W18" s="9" t="str">
        <f t="shared" si="12"/>
        <v>0.96</v>
      </c>
      <c r="X18" s="9" t="str">
        <f t="shared" si="12"/>
        <v>0.70</v>
      </c>
      <c r="Y18" s="9" t="str">
        <f>TEXT(ROUND(P18,3), "0.000")</f>
        <v>1.176</v>
      </c>
      <c r="AA18" s="22" t="s">
        <v>30</v>
      </c>
      <c r="AB18" s="9">
        <v>0.7</v>
      </c>
      <c r="AC18" s="9">
        <v>0.51</v>
      </c>
      <c r="AD18" s="9">
        <v>0.7</v>
      </c>
      <c r="AE18" s="9">
        <v>0.96</v>
      </c>
      <c r="AF18" s="9">
        <v>0.7</v>
      </c>
      <c r="AG18" s="9">
        <v>1.1759999999999999</v>
      </c>
      <c r="AM18" s="32"/>
      <c r="AN18" s="32"/>
      <c r="AO18" s="32"/>
    </row>
    <row r="19" spans="1:41" x14ac:dyDescent="0.15">
      <c r="S19" s="9" t="s">
        <v>9</v>
      </c>
      <c r="T19" s="9" t="str">
        <f>TEXT(ROUND(Q18,2), "0.00")</f>
        <v>339.01</v>
      </c>
      <c r="AA19" s="22" t="s">
        <v>9</v>
      </c>
      <c r="AB19" s="9">
        <v>339.01</v>
      </c>
      <c r="AJ19" s="32"/>
      <c r="AK19" s="32"/>
      <c r="AL19" s="32"/>
      <c r="AM19" s="32"/>
      <c r="AN19" s="32"/>
      <c r="AO19" s="32"/>
    </row>
    <row r="20" spans="1:41" x14ac:dyDescent="0.15">
      <c r="AJ20" s="32"/>
      <c r="AK20" s="32"/>
      <c r="AL20" s="32"/>
      <c r="AM20" s="32"/>
      <c r="AN20" s="32"/>
      <c r="AO20" s="32"/>
    </row>
    <row r="21" spans="1:41" x14ac:dyDescent="0.15">
      <c r="AA21" s="25" t="s">
        <v>73</v>
      </c>
      <c r="AB21" s="21"/>
      <c r="AC21" s="21"/>
      <c r="AD21" s="21"/>
      <c r="AE21" s="21"/>
      <c r="AF21" s="21"/>
      <c r="AG21" s="21"/>
      <c r="AJ21" s="32"/>
      <c r="AK21" s="32"/>
      <c r="AL21" s="32"/>
      <c r="AM21" s="32"/>
      <c r="AN21" s="32"/>
      <c r="AO21" s="32"/>
    </row>
    <row r="22" spans="1:41" ht="16" x14ac:dyDescent="0.2">
      <c r="A22" s="7" t="s">
        <v>33</v>
      </c>
      <c r="B22" s="7">
        <v>-0.95992959679204304</v>
      </c>
      <c r="C22" s="7">
        <v>-1.6038555668485199</v>
      </c>
      <c r="D22" s="7">
        <v>-0.95934027661659305</v>
      </c>
      <c r="E22" s="7">
        <v>-0.31938009373101001</v>
      </c>
      <c r="F22" s="7">
        <v>-0.95934413044534295</v>
      </c>
      <c r="G22" s="7">
        <v>0.32746991604070103</v>
      </c>
      <c r="H22" s="7">
        <v>312.70098542403099</v>
      </c>
      <c r="J22" s="13" t="s">
        <v>33</v>
      </c>
      <c r="K22" s="13">
        <f>EXP(B22)</f>
        <v>0.38291984381153654</v>
      </c>
      <c r="L22" s="13">
        <f t="shared" ref="L22:P22" si="13">EXP(C22)</f>
        <v>0.20111959118211814</v>
      </c>
      <c r="M22" s="13">
        <f t="shared" si="13"/>
        <v>0.38314557270783828</v>
      </c>
      <c r="N22" s="13">
        <f t="shared" si="13"/>
        <v>0.72659932096647817</v>
      </c>
      <c r="O22" s="13">
        <f t="shared" si="13"/>
        <v>0.38314409613326</v>
      </c>
      <c r="P22" s="13">
        <f t="shared" si="13"/>
        <v>1.3874533105811877</v>
      </c>
      <c r="Q22" s="13">
        <f>H22</f>
        <v>312.70098542403099</v>
      </c>
      <c r="S22" s="9" t="s">
        <v>33</v>
      </c>
      <c r="T22" s="9" t="str">
        <f>TEXT(ROUND(K22,2), "0.00")</f>
        <v>0.38</v>
      </c>
      <c r="U22" s="9" t="str">
        <f t="shared" ref="U22:X22" si="14">TEXT(ROUND(L22,2), "0.00")</f>
        <v>0.20</v>
      </c>
      <c r="V22" s="9" t="str">
        <f t="shared" si="14"/>
        <v>0.38</v>
      </c>
      <c r="W22" s="9" t="str">
        <f t="shared" si="14"/>
        <v>0.73</v>
      </c>
      <c r="X22" s="9" t="str">
        <f t="shared" si="14"/>
        <v>0.38</v>
      </c>
      <c r="Y22" s="9" t="str">
        <f>TEXT(ROUND(P22,3), "0.000")</f>
        <v>1.387</v>
      </c>
      <c r="AA22" s="22" t="s">
        <v>63</v>
      </c>
      <c r="AB22" s="9">
        <v>0.38</v>
      </c>
      <c r="AC22" s="9">
        <v>0.2</v>
      </c>
      <c r="AD22" s="9">
        <v>0.38</v>
      </c>
      <c r="AE22" s="9">
        <v>0.73</v>
      </c>
      <c r="AF22" s="9">
        <v>0.38</v>
      </c>
      <c r="AG22" s="9">
        <v>1.387</v>
      </c>
      <c r="AJ22" s="32"/>
      <c r="AK22" s="32"/>
      <c r="AL22" s="32"/>
      <c r="AM22" s="32"/>
      <c r="AN22" s="32"/>
      <c r="AO22" s="32"/>
    </row>
    <row r="23" spans="1:41" x14ac:dyDescent="0.15">
      <c r="S23" s="9" t="s">
        <v>9</v>
      </c>
      <c r="T23" s="9" t="str">
        <f>TEXT(ROUND(Q22,2), "0.00")</f>
        <v>312.70</v>
      </c>
      <c r="AA23" s="22" t="s">
        <v>9</v>
      </c>
      <c r="AB23" s="9">
        <v>312.7</v>
      </c>
      <c r="AJ23" s="32"/>
      <c r="AK23" s="32"/>
      <c r="AL23" s="32"/>
      <c r="AM23" s="32"/>
      <c r="AN23" s="32"/>
      <c r="AO23" s="32"/>
    </row>
    <row r="24" spans="1:41" x14ac:dyDescent="0.15">
      <c r="AJ24" s="32"/>
      <c r="AK24" s="32"/>
      <c r="AL24" s="32"/>
      <c r="AM24" s="32"/>
      <c r="AN24" s="32"/>
      <c r="AO24" s="32"/>
    </row>
    <row r="25" spans="1:41" x14ac:dyDescent="0.15">
      <c r="AA25" s="25" t="s">
        <v>74</v>
      </c>
      <c r="AB25" s="21"/>
      <c r="AC25" s="21"/>
      <c r="AD25" s="21"/>
      <c r="AE25" s="21"/>
      <c r="AF25" s="21"/>
      <c r="AG25" s="21"/>
      <c r="AJ25" s="32"/>
      <c r="AK25" s="32"/>
      <c r="AL25" s="32"/>
      <c r="AM25" s="32"/>
      <c r="AN25" s="32"/>
      <c r="AO25" s="32"/>
    </row>
    <row r="26" spans="1:41" ht="16" x14ac:dyDescent="0.2">
      <c r="A26" s="8" t="s">
        <v>36</v>
      </c>
      <c r="B26" s="8">
        <v>-0.783324707577987</v>
      </c>
      <c r="C26" s="8">
        <v>-1.4309483251716599</v>
      </c>
      <c r="D26" s="8">
        <v>-0.78329386624606201</v>
      </c>
      <c r="E26" s="8">
        <v>-0.135876769671961</v>
      </c>
      <c r="F26" s="8">
        <v>-0.78329373563740201</v>
      </c>
      <c r="G26" s="8">
        <v>0.33022179931604401</v>
      </c>
      <c r="H26" s="8">
        <v>313.098889673249</v>
      </c>
      <c r="J26" s="14" t="s">
        <v>36</v>
      </c>
      <c r="K26" s="14">
        <f>EXP(B26)</f>
        <v>0.4568844760970075</v>
      </c>
      <c r="L26" s="14">
        <f t="shared" ref="L26:P26" si="15">EXP(C26)</f>
        <v>0.23908208714270582</v>
      </c>
      <c r="M26" s="14">
        <f t="shared" si="15"/>
        <v>0.45689856724007988</v>
      </c>
      <c r="N26" s="14">
        <f t="shared" si="15"/>
        <v>0.87295019980028876</v>
      </c>
      <c r="O26" s="14">
        <f t="shared" si="15"/>
        <v>0.45689862691499339</v>
      </c>
      <c r="P26" s="14">
        <f t="shared" si="15"/>
        <v>1.3912766784601367</v>
      </c>
      <c r="Q26" s="14">
        <f>H26</f>
        <v>313.098889673249</v>
      </c>
      <c r="S26" s="9" t="s">
        <v>36</v>
      </c>
      <c r="T26" s="9" t="str">
        <f>TEXT(ROUND(K26,2), "0.00")</f>
        <v>0.46</v>
      </c>
      <c r="U26" s="9" t="str">
        <f t="shared" ref="U26:X26" si="16">TEXT(ROUND(L26,2), "0.00")</f>
        <v>0.24</v>
      </c>
      <c r="V26" s="9" t="str">
        <f t="shared" si="16"/>
        <v>0.46</v>
      </c>
      <c r="W26" s="9" t="str">
        <f t="shared" si="16"/>
        <v>0.87</v>
      </c>
      <c r="X26" s="9" t="str">
        <f t="shared" si="16"/>
        <v>0.46</v>
      </c>
      <c r="Y26" s="9" t="str">
        <f>TEXT(ROUND(P26,3), "0.000")</f>
        <v>1.391</v>
      </c>
      <c r="AA26" s="22" t="s">
        <v>36</v>
      </c>
      <c r="AB26" s="9">
        <v>0.46</v>
      </c>
      <c r="AC26" s="9">
        <v>0.24</v>
      </c>
      <c r="AD26" s="9">
        <v>0.46</v>
      </c>
      <c r="AE26" s="9">
        <v>0.87</v>
      </c>
      <c r="AF26" s="9">
        <v>0.46</v>
      </c>
      <c r="AG26" s="9">
        <v>1.391</v>
      </c>
      <c r="AJ26" s="32"/>
      <c r="AK26" s="32"/>
      <c r="AL26" s="32"/>
      <c r="AM26" s="32"/>
      <c r="AN26" s="32"/>
      <c r="AO26" s="32"/>
    </row>
    <row r="27" spans="1:41" x14ac:dyDescent="0.15">
      <c r="S27" s="9" t="s">
        <v>9</v>
      </c>
      <c r="T27" s="9" t="str">
        <f>TEXT(ROUND(Q26,2), "0.00")</f>
        <v>313.10</v>
      </c>
      <c r="AA27" s="24" t="s">
        <v>9</v>
      </c>
      <c r="AB27" s="21">
        <v>313.10000000000002</v>
      </c>
      <c r="AC27" s="21"/>
      <c r="AD27" s="21"/>
      <c r="AE27" s="21"/>
      <c r="AF27" s="21"/>
      <c r="AG27" s="21"/>
      <c r="AJ27" s="32"/>
      <c r="AK27" s="32"/>
      <c r="AL27" s="32"/>
      <c r="AM27" s="32"/>
      <c r="AN27" s="32"/>
      <c r="AO27" s="32"/>
    </row>
    <row r="28" spans="1:41" x14ac:dyDescent="0.15">
      <c r="AJ28" s="32"/>
      <c r="AK28" s="32"/>
      <c r="AL28" s="32"/>
      <c r="AM28" s="32"/>
      <c r="AN28" s="32"/>
      <c r="AO28" s="32"/>
    </row>
    <row r="29" spans="1:41" x14ac:dyDescent="0.15">
      <c r="AA29" s="18" t="s">
        <v>81</v>
      </c>
      <c r="AJ29" s="31" t="s">
        <v>175</v>
      </c>
      <c r="AK29" s="32"/>
      <c r="AL29" s="32"/>
      <c r="AM29" s="32"/>
      <c r="AN29" s="32"/>
      <c r="AO29" s="32"/>
    </row>
    <row r="30" spans="1:41" x14ac:dyDescent="0.15">
      <c r="AA30" s="18"/>
      <c r="AJ30" s="33"/>
      <c r="AK30" s="34" t="s">
        <v>184</v>
      </c>
      <c r="AL30" s="34" t="s">
        <v>185</v>
      </c>
      <c r="AM30" s="34" t="s">
        <v>186</v>
      </c>
      <c r="AN30" s="32"/>
      <c r="AO30" s="32"/>
    </row>
    <row r="31" spans="1:41" ht="15" x14ac:dyDescent="0.15">
      <c r="AA31" s="19" t="s">
        <v>77</v>
      </c>
      <c r="AB31" s="20" t="s">
        <v>3</v>
      </c>
      <c r="AC31" s="20" t="s">
        <v>4</v>
      </c>
      <c r="AD31" s="20" t="s">
        <v>5</v>
      </c>
      <c r="AE31" s="20" t="s">
        <v>6</v>
      </c>
      <c r="AF31" s="20" t="s">
        <v>7</v>
      </c>
      <c r="AG31" s="20" t="s">
        <v>8</v>
      </c>
      <c r="AJ31" s="35"/>
      <c r="AK31" s="36" t="s">
        <v>171</v>
      </c>
      <c r="AL31" s="36" t="s">
        <v>171</v>
      </c>
      <c r="AM31" s="36" t="s">
        <v>171</v>
      </c>
      <c r="AN31" s="32"/>
      <c r="AO31" s="32"/>
    </row>
    <row r="32" spans="1:41" ht="16" x14ac:dyDescent="0.2">
      <c r="A32" s="3" t="s">
        <v>38</v>
      </c>
      <c r="B32" s="3">
        <v>0.174193103965461</v>
      </c>
      <c r="C32" s="3">
        <v>8.0298588978184204E-2</v>
      </c>
      <c r="D32" s="3">
        <v>0.17317762783073801</v>
      </c>
      <c r="E32" s="3">
        <v>0.27394774152562601</v>
      </c>
      <c r="F32" s="3">
        <v>0.17319953773768501</v>
      </c>
      <c r="G32" s="3">
        <v>4.9283338420550798E-2</v>
      </c>
      <c r="H32" s="3">
        <v>262.47563510341502</v>
      </c>
      <c r="J32" s="15" t="s">
        <v>38</v>
      </c>
      <c r="K32" s="15">
        <f>EXP(B32)</f>
        <v>1.1902853924587449</v>
      </c>
      <c r="L32" s="15">
        <f t="shared" ref="L32:P39" si="17">EXP(C32)</f>
        <v>1.0836105735488164</v>
      </c>
      <c r="M32" s="15">
        <f t="shared" si="17"/>
        <v>1.1890772995477681</v>
      </c>
      <c r="N32" s="15">
        <f t="shared" si="17"/>
        <v>1.3151460729155457</v>
      </c>
      <c r="O32" s="15">
        <f t="shared" si="17"/>
        <v>1.1891033524061609</v>
      </c>
      <c r="P32" s="15">
        <f t="shared" si="17"/>
        <v>1.0505179606756105</v>
      </c>
      <c r="Q32" s="15">
        <f>H32</f>
        <v>262.47563510341502</v>
      </c>
      <c r="S32" s="9" t="s">
        <v>38</v>
      </c>
      <c r="T32" s="9" t="str">
        <f>TEXT(ROUND(K32,2), "0.00")</f>
        <v>1.19</v>
      </c>
      <c r="U32" s="9" t="str">
        <f t="shared" ref="U32:X41" si="18">TEXT(ROUND(L32,2), "0.00")</f>
        <v>1.08</v>
      </c>
      <c r="V32" s="9" t="str">
        <f t="shared" si="18"/>
        <v>1.19</v>
      </c>
      <c r="W32" s="9" t="str">
        <f t="shared" si="18"/>
        <v>1.32</v>
      </c>
      <c r="X32" s="9" t="str">
        <f t="shared" si="18"/>
        <v>1.19</v>
      </c>
      <c r="Y32" s="9" t="str">
        <f>TEXT(ROUND(P32,3), "0.000")</f>
        <v>1.051</v>
      </c>
      <c r="AA32" s="22" t="s">
        <v>38</v>
      </c>
      <c r="AB32" s="9">
        <v>1.19</v>
      </c>
      <c r="AC32" s="9">
        <v>1.08</v>
      </c>
      <c r="AD32" s="9">
        <v>1.19</v>
      </c>
      <c r="AE32" s="9">
        <v>1.31</v>
      </c>
      <c r="AF32" s="9">
        <v>1.19</v>
      </c>
      <c r="AG32" s="9">
        <v>1.05</v>
      </c>
      <c r="AJ32" s="37" t="s">
        <v>38</v>
      </c>
      <c r="AK32" s="38" t="str">
        <f t="shared" ref="AK32:AK36" si="19">CONCATENATE(V32, " (", U32, "–", W32, ")")</f>
        <v>1.19 (1.08–1.32)</v>
      </c>
      <c r="AL32" s="39" t="str">
        <f t="shared" ref="AL32:AL37" si="20">CONCATENATE(V45, " (", U45, "–", W45, ")")</f>
        <v>1.19 (1.08–1.31)</v>
      </c>
      <c r="AM32" s="39" t="str">
        <f t="shared" ref="AM32:AM34" si="21">CONCATENATE(V58, " (", U58, "–", W58, ")")</f>
        <v>1.17 (1.07–1.29)</v>
      </c>
      <c r="AN32" s="32"/>
      <c r="AO32" s="32"/>
    </row>
    <row r="33" spans="1:41" ht="16" x14ac:dyDescent="0.2">
      <c r="A33" s="3" t="s">
        <v>39</v>
      </c>
      <c r="B33" s="3">
        <v>1.6949231918661201</v>
      </c>
      <c r="C33" s="3">
        <v>0.78464177145751202</v>
      </c>
      <c r="D33" s="3">
        <v>1.6943443843506301</v>
      </c>
      <c r="E33" s="3">
        <v>2.6089019483531302</v>
      </c>
      <c r="F33" s="3">
        <v>1.69449493150965</v>
      </c>
      <c r="G33" s="3">
        <v>0.46444210041316902</v>
      </c>
      <c r="H33" s="3">
        <v>262.47563510341502</v>
      </c>
      <c r="J33" s="15" t="s">
        <v>39</v>
      </c>
      <c r="K33" s="15">
        <f t="shared" ref="K33:K41" si="22">EXP(B33)</f>
        <v>5.4462276345661094</v>
      </c>
      <c r="L33" s="15">
        <f t="shared" si="17"/>
        <v>2.1916216986467578</v>
      </c>
      <c r="M33" s="15">
        <f t="shared" si="17"/>
        <v>5.4430762291966905</v>
      </c>
      <c r="N33" s="15">
        <f t="shared" si="17"/>
        <v>13.584126586953557</v>
      </c>
      <c r="O33" s="15">
        <f t="shared" si="17"/>
        <v>5.4438957305445772</v>
      </c>
      <c r="P33" s="15">
        <f t="shared" si="17"/>
        <v>1.5911262525415832</v>
      </c>
      <c r="Q33" s="15">
        <f t="shared" ref="Q33:Q41" si="23">H33</f>
        <v>262.47563510341502</v>
      </c>
      <c r="S33" s="9" t="s">
        <v>39</v>
      </c>
      <c r="T33" s="9" t="str">
        <f t="shared" ref="T33:T41" si="24">TEXT(ROUND(K33,2), "0.00")</f>
        <v>5.45</v>
      </c>
      <c r="U33" s="9" t="str">
        <f t="shared" si="18"/>
        <v>2.19</v>
      </c>
      <c r="V33" s="9" t="str">
        <f t="shared" si="18"/>
        <v>5.44</v>
      </c>
      <c r="W33" s="9" t="str">
        <f t="shared" si="18"/>
        <v>13.58</v>
      </c>
      <c r="X33" s="9" t="str">
        <f t="shared" si="18"/>
        <v>5.44</v>
      </c>
      <c r="Y33" s="9" t="str">
        <f t="shared" ref="Y33:Y41" si="25">TEXT(ROUND(P33,3), "0.000")</f>
        <v>1.591</v>
      </c>
      <c r="AA33" s="22" t="s">
        <v>39</v>
      </c>
      <c r="AB33" s="9">
        <v>5.55</v>
      </c>
      <c r="AC33" s="9">
        <v>2.2599999999999998</v>
      </c>
      <c r="AD33" s="9">
        <v>5.55</v>
      </c>
      <c r="AE33" s="9">
        <v>13.66</v>
      </c>
      <c r="AF33" s="9">
        <v>5.55</v>
      </c>
      <c r="AG33" s="9">
        <v>1.581</v>
      </c>
      <c r="AJ33" s="37" t="s">
        <v>39</v>
      </c>
      <c r="AK33" s="38" t="str">
        <f t="shared" si="19"/>
        <v>5.44 (2.19–13.58)</v>
      </c>
      <c r="AL33" s="39" t="str">
        <f t="shared" si="20"/>
        <v>4.84 (1.96–12.02)</v>
      </c>
      <c r="AM33" s="39" t="str">
        <f t="shared" si="21"/>
        <v>4.33 (1.74–10.53)</v>
      </c>
      <c r="AN33" s="32"/>
      <c r="AO33" s="32"/>
    </row>
    <row r="34" spans="1:41" ht="16" x14ac:dyDescent="0.2">
      <c r="A34" s="3" t="s">
        <v>12</v>
      </c>
      <c r="B34" s="3">
        <v>0.15861223714241801</v>
      </c>
      <c r="C34" s="3">
        <v>-0.29133168260562498</v>
      </c>
      <c r="D34" s="3">
        <v>0.158109110098336</v>
      </c>
      <c r="E34" s="3">
        <v>0.61171322552005003</v>
      </c>
      <c r="F34" s="3">
        <v>0.15820469426173001</v>
      </c>
      <c r="G34" s="3">
        <v>0.22959669229833601</v>
      </c>
      <c r="H34" s="3">
        <v>262.47563510341502</v>
      </c>
      <c r="J34" s="15" t="s">
        <v>12</v>
      </c>
      <c r="K34" s="15">
        <f t="shared" si="22"/>
        <v>1.1718834456934566</v>
      </c>
      <c r="L34" s="15">
        <f t="shared" si="17"/>
        <v>0.747267781184067</v>
      </c>
      <c r="M34" s="15">
        <f t="shared" si="17"/>
        <v>1.17129398773797</v>
      </c>
      <c r="N34" s="15">
        <f t="shared" si="17"/>
        <v>1.8435871753285018</v>
      </c>
      <c r="O34" s="15">
        <f t="shared" si="17"/>
        <v>1.1714059502447125</v>
      </c>
      <c r="P34" s="15">
        <f t="shared" si="17"/>
        <v>1.2580925091985147</v>
      </c>
      <c r="Q34" s="15">
        <f t="shared" si="23"/>
        <v>262.47563510341502</v>
      </c>
      <c r="S34" s="9" t="s">
        <v>12</v>
      </c>
      <c r="T34" s="9" t="str">
        <f t="shared" si="24"/>
        <v>1.17</v>
      </c>
      <c r="U34" s="9" t="str">
        <f t="shared" si="18"/>
        <v>0.75</v>
      </c>
      <c r="V34" s="9" t="str">
        <f t="shared" si="18"/>
        <v>1.17</v>
      </c>
      <c r="W34" s="9" t="str">
        <f t="shared" si="18"/>
        <v>1.84</v>
      </c>
      <c r="X34" s="9" t="str">
        <f t="shared" si="18"/>
        <v>1.17</v>
      </c>
      <c r="Y34" s="9" t="str">
        <f t="shared" si="25"/>
        <v>1.258</v>
      </c>
      <c r="AA34" s="22" t="s">
        <v>12</v>
      </c>
      <c r="AB34" s="9">
        <v>1.0900000000000001</v>
      </c>
      <c r="AC34" s="9">
        <v>0.7</v>
      </c>
      <c r="AD34" s="9">
        <v>1.0900000000000001</v>
      </c>
      <c r="AE34" s="9">
        <v>1.71</v>
      </c>
      <c r="AF34" s="9">
        <v>1.0900000000000001</v>
      </c>
      <c r="AG34" s="9">
        <v>1.2549999999999999</v>
      </c>
      <c r="AJ34" s="37" t="s">
        <v>12</v>
      </c>
      <c r="AK34" s="38" t="str">
        <f t="shared" si="19"/>
        <v>1.17 (0.75–1.84)</v>
      </c>
      <c r="AL34" s="39" t="str">
        <f t="shared" si="20"/>
        <v>1.13 (0.72–1.79)</v>
      </c>
      <c r="AM34" s="39" t="str">
        <f t="shared" si="21"/>
        <v>1.15 (0.72–1.82)</v>
      </c>
      <c r="AN34" s="32"/>
      <c r="AO34" s="32"/>
    </row>
    <row r="35" spans="1:41" ht="16" x14ac:dyDescent="0.2">
      <c r="A35" s="3" t="s">
        <v>13</v>
      </c>
      <c r="B35" s="3">
        <v>-0.62638079589590301</v>
      </c>
      <c r="C35" s="3">
        <v>-1.25996509686147</v>
      </c>
      <c r="D35" s="3">
        <v>-0.627324105990406</v>
      </c>
      <c r="E35" s="3">
        <v>1.3101841330726101E-2</v>
      </c>
      <c r="F35" s="3">
        <v>-0.62714897889914201</v>
      </c>
      <c r="G35" s="3">
        <v>0.323189279120697</v>
      </c>
      <c r="H35" s="3">
        <v>262.47563510341502</v>
      </c>
      <c r="J35" s="15" t="s">
        <v>13</v>
      </c>
      <c r="K35" s="15">
        <f t="shared" si="22"/>
        <v>0.53452285176447911</v>
      </c>
      <c r="L35" s="15">
        <f t="shared" si="17"/>
        <v>0.28366392708833171</v>
      </c>
      <c r="M35" s="15">
        <f t="shared" si="17"/>
        <v>0.53401886870619208</v>
      </c>
      <c r="N35" s="15">
        <f t="shared" si="17"/>
        <v>1.0131880465247021</v>
      </c>
      <c r="O35" s="15">
        <f t="shared" si="17"/>
        <v>0.53411239806687216</v>
      </c>
      <c r="P35" s="15">
        <f t="shared" si="17"/>
        <v>1.3815268203412705</v>
      </c>
      <c r="Q35" s="15">
        <f t="shared" si="23"/>
        <v>262.47563510341502</v>
      </c>
      <c r="S35" s="9" t="s">
        <v>13</v>
      </c>
      <c r="T35" s="9" t="str">
        <f t="shared" si="24"/>
        <v>0.53</v>
      </c>
      <c r="U35" s="9" t="str">
        <f t="shared" si="18"/>
        <v>0.28</v>
      </c>
      <c r="V35" s="9" t="str">
        <f t="shared" si="18"/>
        <v>0.53</v>
      </c>
      <c r="W35" s="9" t="str">
        <f t="shared" si="18"/>
        <v>1.01</v>
      </c>
      <c r="X35" s="9" t="str">
        <f t="shared" si="18"/>
        <v>0.53</v>
      </c>
      <c r="Y35" s="9" t="str">
        <f t="shared" si="25"/>
        <v>1.382</v>
      </c>
      <c r="AA35" s="22" t="s">
        <v>13</v>
      </c>
      <c r="AB35" s="9">
        <v>0.54</v>
      </c>
      <c r="AC35" s="9">
        <v>0.28999999999999998</v>
      </c>
      <c r="AD35" s="9">
        <v>0.54</v>
      </c>
      <c r="AE35" s="9">
        <v>1.01</v>
      </c>
      <c r="AF35" s="9">
        <v>0.54</v>
      </c>
      <c r="AG35" s="9">
        <v>1.371</v>
      </c>
      <c r="AJ35" s="37" t="s">
        <v>13</v>
      </c>
      <c r="AK35" s="38" t="str">
        <f t="shared" si="19"/>
        <v>0.53 (0.28–1.01)</v>
      </c>
      <c r="AL35" s="39" t="str">
        <f t="shared" si="20"/>
        <v>0.61 (0.32–1.18)</v>
      </c>
      <c r="AM35" s="39" t="str">
        <f>CONCATENATE(V61, " (", U61, "–", W61, ")")</f>
        <v>0.46 (0.24–0.87)</v>
      </c>
      <c r="AN35" s="32"/>
      <c r="AO35" s="32"/>
    </row>
    <row r="36" spans="1:41" ht="16" x14ac:dyDescent="0.2">
      <c r="A36" s="3" t="s">
        <v>40</v>
      </c>
      <c r="B36" s="3">
        <v>0.420099621293752</v>
      </c>
      <c r="C36" s="3">
        <v>0.19585814927741399</v>
      </c>
      <c r="D36" s="3">
        <v>0.41931045100458098</v>
      </c>
      <c r="E36" s="3">
        <v>0.64880237621534498</v>
      </c>
      <c r="F36" s="3">
        <v>0.419301992668626</v>
      </c>
      <c r="G36" s="3">
        <v>0.11532011202836299</v>
      </c>
      <c r="H36" s="3">
        <v>262.47563510341502</v>
      </c>
      <c r="J36" s="15" t="s">
        <v>40</v>
      </c>
      <c r="K36" s="15">
        <f>EXP(B36)</f>
        <v>1.5221131829503753</v>
      </c>
      <c r="L36" s="15">
        <f t="shared" si="17"/>
        <v>1.2163543523524212</v>
      </c>
      <c r="M36" s="15">
        <f t="shared" si="17"/>
        <v>1.5209124503032176</v>
      </c>
      <c r="N36" s="15">
        <f t="shared" si="17"/>
        <v>1.9132481049410701</v>
      </c>
      <c r="O36" s="15">
        <f t="shared" si="17"/>
        <v>1.5208995859691603</v>
      </c>
      <c r="P36" s="15">
        <f t="shared" si="17"/>
        <v>1.1222326202398851</v>
      </c>
      <c r="Q36" s="15">
        <f t="shared" si="23"/>
        <v>262.47563510341502</v>
      </c>
      <c r="S36" s="9" t="s">
        <v>40</v>
      </c>
      <c r="T36" s="9" t="str">
        <f t="shared" si="24"/>
        <v>1.52</v>
      </c>
      <c r="U36" s="9" t="str">
        <f t="shared" si="18"/>
        <v>1.22</v>
      </c>
      <c r="V36" s="9" t="str">
        <f t="shared" si="18"/>
        <v>1.52</v>
      </c>
      <c r="W36" s="9" t="str">
        <f t="shared" si="18"/>
        <v>1.91</v>
      </c>
      <c r="X36" s="9" t="str">
        <f t="shared" si="18"/>
        <v>1.52</v>
      </c>
      <c r="Y36" s="9" t="str">
        <f t="shared" si="25"/>
        <v>1.122</v>
      </c>
      <c r="AA36" s="22" t="s">
        <v>40</v>
      </c>
      <c r="AB36" s="9">
        <v>1.53</v>
      </c>
      <c r="AC36" s="9">
        <v>1.23</v>
      </c>
      <c r="AD36" s="9">
        <v>1.53</v>
      </c>
      <c r="AE36" s="9">
        <v>1.91</v>
      </c>
      <c r="AF36" s="9">
        <v>1.53</v>
      </c>
      <c r="AG36" s="9">
        <v>1.1200000000000001</v>
      </c>
      <c r="AJ36" s="37" t="s">
        <v>68</v>
      </c>
      <c r="AK36" s="38" t="str">
        <f t="shared" si="19"/>
        <v>1.52 (1.22–1.91)</v>
      </c>
      <c r="AL36" s="39" t="str">
        <f t="shared" si="20"/>
        <v>1.54 (1.24–1.94)</v>
      </c>
      <c r="AM36" s="39" t="str">
        <f>CONCATENATE(V62, " (", U62, "–", W62, ")")</f>
        <v>4.27 (2.25–8.75)</v>
      </c>
      <c r="AN36" s="32"/>
      <c r="AO36" s="32"/>
    </row>
    <row r="37" spans="1:41" ht="16" x14ac:dyDescent="0.2">
      <c r="A37" s="3" t="s">
        <v>14</v>
      </c>
      <c r="B37" s="3">
        <v>-1.7441118148381001</v>
      </c>
      <c r="C37" s="3">
        <v>-3.17232173776932</v>
      </c>
      <c r="D37" s="3">
        <v>-1.7395703972860199</v>
      </c>
      <c r="E37" s="3">
        <v>-0.34241318328328801</v>
      </c>
      <c r="F37" s="3">
        <v>-1.7397684822958299</v>
      </c>
      <c r="G37" s="3">
        <v>0.72087711522486497</v>
      </c>
      <c r="H37" s="3">
        <v>262.47563510341502</v>
      </c>
      <c r="J37" s="15" t="s">
        <v>14</v>
      </c>
      <c r="K37" s="15">
        <f>EXP(B37)</f>
        <v>0.17480017496135838</v>
      </c>
      <c r="L37" s="15">
        <f t="shared" si="17"/>
        <v>4.1906189685671218E-2</v>
      </c>
      <c r="M37" s="15">
        <f t="shared" si="17"/>
        <v>0.17559582085667066</v>
      </c>
      <c r="N37" s="15">
        <f t="shared" si="17"/>
        <v>0.71005476133280132</v>
      </c>
      <c r="O37" s="15">
        <f t="shared" si="17"/>
        <v>0.17556104140153175</v>
      </c>
      <c r="P37" s="15">
        <f t="shared" si="17"/>
        <v>2.0562359757922142</v>
      </c>
      <c r="Q37" s="15">
        <f t="shared" si="23"/>
        <v>262.47563510341502</v>
      </c>
      <c r="S37" s="9" t="s">
        <v>14</v>
      </c>
      <c r="T37" s="9" t="str">
        <f>TEXT(ROUND(K37,2), "0.00")</f>
        <v>0.17</v>
      </c>
      <c r="U37" s="9" t="str">
        <f t="shared" si="18"/>
        <v>0.04</v>
      </c>
      <c r="V37" s="9" t="str">
        <f t="shared" si="18"/>
        <v>0.18</v>
      </c>
      <c r="W37" s="9" t="str">
        <f t="shared" si="18"/>
        <v>0.71</v>
      </c>
      <c r="X37" s="9" t="str">
        <f t="shared" si="18"/>
        <v>0.18</v>
      </c>
      <c r="Y37" s="9" t="str">
        <f t="shared" si="25"/>
        <v>2.056</v>
      </c>
      <c r="AA37" s="22" t="s">
        <v>65</v>
      </c>
      <c r="AB37" s="9">
        <v>0.19</v>
      </c>
      <c r="AC37" s="9">
        <v>0.05</v>
      </c>
      <c r="AD37" s="9">
        <v>0.19</v>
      </c>
      <c r="AE37" s="9">
        <v>0.77</v>
      </c>
      <c r="AF37" s="9">
        <v>0.19</v>
      </c>
      <c r="AG37" s="9">
        <v>2.052</v>
      </c>
      <c r="AJ37" s="32" t="s">
        <v>126</v>
      </c>
      <c r="AK37" s="38" t="str">
        <f>CONCATENATE(V37, " (", U37, "–", W37, ")")</f>
        <v>0.18 (0.04–0.71)</v>
      </c>
      <c r="AL37" s="39" t="str">
        <f t="shared" si="20"/>
        <v>0.19 (0.05–0.75)</v>
      </c>
      <c r="AM37" s="39" t="str">
        <f>CONCATENATE(V63, " (", U63, "–", W63, ")")</f>
        <v>0.84 (0.34–1.99)</v>
      </c>
      <c r="AN37" s="32"/>
      <c r="AO37" s="32"/>
    </row>
    <row r="38" spans="1:41" ht="16" x14ac:dyDescent="0.2">
      <c r="A38" s="3" t="s">
        <v>30</v>
      </c>
      <c r="B38" s="3">
        <v>-0.17567930735722101</v>
      </c>
      <c r="C38" s="3">
        <v>-0.69732606543619502</v>
      </c>
      <c r="D38" s="3">
        <v>-0.174866208841196</v>
      </c>
      <c r="E38" s="3">
        <v>0.34115986756252697</v>
      </c>
      <c r="F38" s="3">
        <v>-0.174921407614896</v>
      </c>
      <c r="G38" s="3">
        <v>0.26445444424668602</v>
      </c>
      <c r="H38" s="3">
        <v>262.47563510341502</v>
      </c>
      <c r="J38" s="15" t="s">
        <v>30</v>
      </c>
      <c r="K38" s="15">
        <f t="shared" si="22"/>
        <v>0.83888696508236049</v>
      </c>
      <c r="L38" s="15">
        <f t="shared" si="17"/>
        <v>0.49791491725657572</v>
      </c>
      <c r="M38" s="15">
        <f t="shared" si="17"/>
        <v>0.83956934021028873</v>
      </c>
      <c r="N38" s="15">
        <f t="shared" si="17"/>
        <v>1.4065780890993287</v>
      </c>
      <c r="O38" s="15">
        <f t="shared" si="17"/>
        <v>0.8395229982912934</v>
      </c>
      <c r="P38" s="15">
        <f t="shared" si="17"/>
        <v>1.3027200754460007</v>
      </c>
      <c r="Q38" s="15">
        <f t="shared" si="23"/>
        <v>262.47563510341502</v>
      </c>
      <c r="S38" s="9" t="s">
        <v>30</v>
      </c>
      <c r="T38" s="9" t="str">
        <f t="shared" si="24"/>
        <v>0.84</v>
      </c>
      <c r="U38" s="9" t="str">
        <f t="shared" si="18"/>
        <v>0.50</v>
      </c>
      <c r="V38" s="9" t="str">
        <f t="shared" si="18"/>
        <v>0.84</v>
      </c>
      <c r="W38" s="9" t="str">
        <f t="shared" si="18"/>
        <v>1.41</v>
      </c>
      <c r="X38" s="9" t="str">
        <f t="shared" si="18"/>
        <v>0.84</v>
      </c>
      <c r="Y38" s="9" t="str">
        <f t="shared" si="25"/>
        <v>1.303</v>
      </c>
      <c r="AA38" s="22" t="s">
        <v>63</v>
      </c>
      <c r="AB38" s="9">
        <v>2.12</v>
      </c>
      <c r="AC38" s="9">
        <v>0.85</v>
      </c>
      <c r="AD38" s="9">
        <v>2.13</v>
      </c>
      <c r="AE38" s="9">
        <v>5.18</v>
      </c>
      <c r="AF38" s="9">
        <v>2.13</v>
      </c>
      <c r="AG38" s="9">
        <v>1.581</v>
      </c>
      <c r="AJ38" s="32" t="s">
        <v>120</v>
      </c>
      <c r="AK38" s="38" t="str">
        <f>CONCATENATE(V38, " (", U38, "–", W38, ")")</f>
        <v>0.84 (0.50–1.41)</v>
      </c>
      <c r="AL38" s="42" t="s">
        <v>119</v>
      </c>
      <c r="AM38" s="39" t="s">
        <v>119</v>
      </c>
      <c r="AN38" s="32"/>
      <c r="AO38" s="32"/>
    </row>
    <row r="39" spans="1:41" ht="16" x14ac:dyDescent="0.2">
      <c r="A39" s="3" t="s">
        <v>41</v>
      </c>
      <c r="B39" s="3">
        <v>1.05864622756607</v>
      </c>
      <c r="C39" s="3">
        <v>0.35501780782284098</v>
      </c>
      <c r="D39" s="3">
        <v>1.05711038332686</v>
      </c>
      <c r="E39" s="3">
        <v>1.77133768626037</v>
      </c>
      <c r="F39" s="3">
        <v>1.0572069451299999</v>
      </c>
      <c r="G39" s="3">
        <v>0.36076743890079599</v>
      </c>
      <c r="H39" s="3">
        <v>262.47563510341502</v>
      </c>
      <c r="J39" s="15" t="s">
        <v>41</v>
      </c>
      <c r="K39" s="15">
        <f>EXP(B39)</f>
        <v>2.8824661435212247</v>
      </c>
      <c r="L39" s="15">
        <f t="shared" si="17"/>
        <v>1.4262060516800463</v>
      </c>
      <c r="M39" s="15">
        <f t="shared" si="17"/>
        <v>2.8780425223660568</v>
      </c>
      <c r="N39" s="15">
        <f t="shared" si="17"/>
        <v>5.8787119762694964</v>
      </c>
      <c r="O39" s="15">
        <f t="shared" si="17"/>
        <v>2.8783204447596575</v>
      </c>
      <c r="P39" s="15">
        <f t="shared" si="17"/>
        <v>1.434429829507339</v>
      </c>
      <c r="Q39" s="15">
        <f t="shared" si="23"/>
        <v>262.47563510341502</v>
      </c>
      <c r="S39" s="9" t="s">
        <v>41</v>
      </c>
      <c r="T39" s="9" t="str">
        <f t="shared" si="24"/>
        <v>2.88</v>
      </c>
      <c r="U39" s="9" t="str">
        <f t="shared" si="18"/>
        <v>1.43</v>
      </c>
      <c r="V39" s="9" t="str">
        <f t="shared" si="18"/>
        <v>2.88</v>
      </c>
      <c r="W39" s="9" t="str">
        <f t="shared" si="18"/>
        <v>5.88</v>
      </c>
      <c r="X39" s="9" t="str">
        <f t="shared" si="18"/>
        <v>2.88</v>
      </c>
      <c r="Y39" s="9" t="str">
        <f t="shared" si="25"/>
        <v>1.434</v>
      </c>
      <c r="AA39" s="22" t="s">
        <v>69</v>
      </c>
      <c r="AB39" s="9">
        <v>0.73</v>
      </c>
      <c r="AC39" s="9">
        <v>0.42</v>
      </c>
      <c r="AD39" s="9">
        <v>0.73</v>
      </c>
      <c r="AE39" s="9">
        <v>1.27</v>
      </c>
      <c r="AF39" s="9">
        <v>0.73</v>
      </c>
      <c r="AG39" s="9">
        <v>1.3220000000000001</v>
      </c>
      <c r="AJ39" s="37" t="s">
        <v>121</v>
      </c>
      <c r="AK39" s="39" t="s">
        <v>119</v>
      </c>
      <c r="AL39" s="39" t="str">
        <f>CONCATENATE(V51, " (", U51, "–", W51, ")")</f>
        <v>0.80 (0.61–1.03)</v>
      </c>
      <c r="AM39" s="39" t="str">
        <f>CONCATENATE(V64, " (", U64, "–", W64, ")")</f>
        <v>1.19 (0.97–1.45)</v>
      </c>
      <c r="AN39" s="32"/>
      <c r="AO39" s="32"/>
    </row>
    <row r="40" spans="1:41" ht="16" x14ac:dyDescent="0.2">
      <c r="A40" s="3" t="s">
        <v>19</v>
      </c>
      <c r="B40" s="3">
        <v>307.79019578659597</v>
      </c>
      <c r="C40" s="3">
        <v>82.7267547330013</v>
      </c>
      <c r="D40" s="3">
        <v>254.743136226106</v>
      </c>
      <c r="E40" s="3">
        <v>851.650693552093</v>
      </c>
      <c r="F40" s="3">
        <v>178.362741198642</v>
      </c>
      <c r="G40" s="3">
        <v>206.065360922591</v>
      </c>
      <c r="H40" s="3">
        <v>262.47563510341502</v>
      </c>
      <c r="J40" s="15" t="s">
        <v>19</v>
      </c>
      <c r="K40" s="15">
        <v>274.96681621439097</v>
      </c>
      <c r="L40" s="15">
        <v>73.524468863731897</v>
      </c>
      <c r="M40" s="15">
        <v>228.641516452281</v>
      </c>
      <c r="N40" s="15">
        <v>753.76407964920998</v>
      </c>
      <c r="O40" s="15">
        <v>160.595624152775</v>
      </c>
      <c r="P40" s="15">
        <v>181.93669639379999</v>
      </c>
      <c r="Q40" s="15">
        <f t="shared" si="23"/>
        <v>262.47563510341502</v>
      </c>
      <c r="S40" s="9" t="s">
        <v>19</v>
      </c>
      <c r="T40" s="9" t="str">
        <f t="shared" si="24"/>
        <v>274.97</v>
      </c>
      <c r="U40" s="9" t="str">
        <f t="shared" si="18"/>
        <v>73.52</v>
      </c>
      <c r="V40" s="9" t="str">
        <f t="shared" si="18"/>
        <v>228.64</v>
      </c>
      <c r="W40" s="9" t="str">
        <f t="shared" si="18"/>
        <v>753.76</v>
      </c>
      <c r="X40" s="9" t="str">
        <f t="shared" si="18"/>
        <v>160.60</v>
      </c>
      <c r="Y40" s="9" t="str">
        <f t="shared" si="25"/>
        <v>181.937</v>
      </c>
      <c r="AA40" s="22" t="s">
        <v>67</v>
      </c>
      <c r="AB40" s="9">
        <v>2.79</v>
      </c>
      <c r="AC40" s="9">
        <v>1.38</v>
      </c>
      <c r="AD40" s="9">
        <v>2.79</v>
      </c>
      <c r="AE40" s="9">
        <v>5.7</v>
      </c>
      <c r="AF40" s="9">
        <v>2.79</v>
      </c>
      <c r="AG40" s="9">
        <v>1.4359999999999999</v>
      </c>
      <c r="AJ40" s="37" t="s">
        <v>127</v>
      </c>
      <c r="AK40" s="39" t="str">
        <f>CONCATENATE(V39, " (", U39, "–", W39, ")")</f>
        <v>2.88 (1.43–5.88)</v>
      </c>
      <c r="AL40" s="42" t="s">
        <v>119</v>
      </c>
      <c r="AM40" s="40" t="s">
        <v>119</v>
      </c>
      <c r="AN40" s="32"/>
      <c r="AO40" s="32"/>
    </row>
    <row r="41" spans="1:41" ht="16" x14ac:dyDescent="0.2">
      <c r="A41" s="3" t="s">
        <v>20</v>
      </c>
      <c r="B41" s="3">
        <v>2.0561054532289398</v>
      </c>
      <c r="C41" s="3">
        <v>0.65289583499590098</v>
      </c>
      <c r="D41" s="3">
        <v>1.85233115565436</v>
      </c>
      <c r="E41" s="3">
        <v>4.6251460539847802</v>
      </c>
      <c r="F41" s="3">
        <v>1.4729697074082599</v>
      </c>
      <c r="G41" s="3">
        <v>1.03695489434</v>
      </c>
      <c r="H41" s="3">
        <v>262.47563510341502</v>
      </c>
      <c r="J41" s="15" t="s">
        <v>20</v>
      </c>
      <c r="K41" s="15">
        <f t="shared" si="22"/>
        <v>7.8154727386109144</v>
      </c>
      <c r="L41" s="15">
        <f t="shared" ref="L41" si="26">EXP(C41)</f>
        <v>1.9210959586700196</v>
      </c>
      <c r="M41" s="15">
        <f>EXP(D41)</f>
        <v>6.3746625458196355</v>
      </c>
      <c r="N41" s="15">
        <f t="shared" ref="N41" si="27">EXP(E41)</f>
        <v>102.01767208216968</v>
      </c>
      <c r="O41" s="15">
        <f t="shared" ref="O41" si="28">EXP(F41)</f>
        <v>4.3621702941850131</v>
      </c>
      <c r="P41" s="15">
        <f t="shared" ref="P41" si="29">EXP(G41)</f>
        <v>2.8206148534992201</v>
      </c>
      <c r="Q41" s="15">
        <f t="shared" si="23"/>
        <v>262.47563510341502</v>
      </c>
      <c r="S41" s="9" t="s">
        <v>20</v>
      </c>
      <c r="T41" s="9" t="str">
        <f t="shared" si="24"/>
        <v>7.82</v>
      </c>
      <c r="U41" s="9" t="str">
        <f t="shared" si="18"/>
        <v>1.92</v>
      </c>
      <c r="V41" s="9" t="str">
        <f t="shared" si="18"/>
        <v>6.37</v>
      </c>
      <c r="W41" s="9" t="str">
        <f t="shared" si="18"/>
        <v>102.02</v>
      </c>
      <c r="X41" s="9" t="str">
        <f t="shared" si="18"/>
        <v>4.36</v>
      </c>
      <c r="Y41" s="9" t="str">
        <f t="shared" si="25"/>
        <v>2.821</v>
      </c>
      <c r="AA41" s="22" t="s">
        <v>64</v>
      </c>
      <c r="AB41" s="9">
        <v>274.97000000000003</v>
      </c>
      <c r="AC41" s="9">
        <v>73.52</v>
      </c>
      <c r="AD41" s="9">
        <v>228.64</v>
      </c>
      <c r="AE41" s="9">
        <v>753.76</v>
      </c>
      <c r="AF41" s="9">
        <v>160.6</v>
      </c>
      <c r="AG41" s="9">
        <v>181.93700000000001</v>
      </c>
      <c r="AJ41" s="37" t="s">
        <v>123</v>
      </c>
      <c r="AK41" s="39" t="s">
        <v>119</v>
      </c>
      <c r="AL41" s="40" t="str">
        <f>CONCATENATE(V52, " (", U52, "–", W52, ")")</f>
        <v>1.86 (1.24–2.83)</v>
      </c>
      <c r="AM41" s="40" t="s">
        <v>119</v>
      </c>
      <c r="AN41" s="32"/>
      <c r="AO41" s="32"/>
    </row>
    <row r="42" spans="1:41" x14ac:dyDescent="0.15">
      <c r="S42" s="9" t="s">
        <v>9</v>
      </c>
      <c r="T42" s="9" t="str">
        <f>TEXT(ROUND(Q41,2), "0.00")</f>
        <v>262.48</v>
      </c>
      <c r="AA42" s="22" t="s">
        <v>20</v>
      </c>
      <c r="AB42" s="9">
        <v>1.95</v>
      </c>
      <c r="AC42" s="9">
        <v>0.57999999999999996</v>
      </c>
      <c r="AD42" s="9">
        <v>1.74</v>
      </c>
      <c r="AE42" s="9">
        <v>4.53</v>
      </c>
      <c r="AF42" s="9">
        <v>1.35</v>
      </c>
      <c r="AG42" s="9">
        <v>1.0349999999999999</v>
      </c>
      <c r="AJ42" s="37" t="s">
        <v>122</v>
      </c>
      <c r="AK42" s="39" t="s">
        <v>119</v>
      </c>
      <c r="AL42" s="40" t="s">
        <v>119</v>
      </c>
      <c r="AM42" s="40" t="str">
        <f>CONCATENATE(V65, " (", U65, "–", W65, ")")</f>
        <v>0.75 (0.64–0.87)</v>
      </c>
      <c r="AN42" s="32"/>
      <c r="AO42" s="32"/>
    </row>
    <row r="43" spans="1:41" x14ac:dyDescent="0.15">
      <c r="AA43" s="22" t="s">
        <v>9</v>
      </c>
      <c r="AB43" s="9">
        <v>263.08999999999997</v>
      </c>
      <c r="AJ43" s="37" t="s">
        <v>129</v>
      </c>
      <c r="AK43" s="39" t="str">
        <f>CONCATENATE(V41, " (", U41, "–", W41, ")")</f>
        <v>6.37 (1.92–102.02)</v>
      </c>
      <c r="AL43" s="39" t="str">
        <f>CONCATENATE(V54, " (", U54, "–", W54, ")")</f>
        <v>7.40 (2.16–115.16)</v>
      </c>
      <c r="AM43" s="39" t="str">
        <f>CONCATENATE(V67, " (", U67, "–", W67, ")")</f>
        <v>3.77 (1.58–41.79)</v>
      </c>
      <c r="AN43" s="32"/>
      <c r="AO43" s="32"/>
    </row>
    <row r="44" spans="1:41" ht="15" x14ac:dyDescent="0.15">
      <c r="AJ44" s="37" t="s">
        <v>178</v>
      </c>
      <c r="AK44" s="39" t="str">
        <f>CONCATENATE(V40, " (", U40, "–", W40, ")")</f>
        <v>228.64 (73.52–753.76)</v>
      </c>
      <c r="AL44" s="39" t="str">
        <f>CONCATENATE(V53, " (", U53, "–", W53, ")")</f>
        <v>235.42 (75.48–774.11)</v>
      </c>
      <c r="AM44" s="39" t="str">
        <f>CONCATENATE(V66, " (", U66, "–", W66, ")")</f>
        <v>314.35 (47.28–2261.81)</v>
      </c>
      <c r="AN44" s="32"/>
      <c r="AO44" s="32"/>
    </row>
    <row r="45" spans="1:41" ht="16" x14ac:dyDescent="0.2">
      <c r="A45" s="4" t="s">
        <v>38</v>
      </c>
      <c r="B45" s="4">
        <v>0.17219569423970699</v>
      </c>
      <c r="C45" s="4">
        <v>7.7203512855900602E-2</v>
      </c>
      <c r="D45" s="4">
        <v>0.17109300496049001</v>
      </c>
      <c r="E45" s="4">
        <v>0.27355307593603601</v>
      </c>
      <c r="F45" s="4">
        <v>0.171117246045421</v>
      </c>
      <c r="G45" s="4">
        <v>4.9967823742694102E-2</v>
      </c>
      <c r="H45" s="4">
        <v>262.579411797082</v>
      </c>
      <c r="J45" s="16" t="s">
        <v>38</v>
      </c>
      <c r="K45" s="16">
        <f>EXP(B45)</f>
        <v>1.1879102776677721</v>
      </c>
      <c r="L45" s="16">
        <f t="shared" ref="L45:P52" si="30">EXP(C45)</f>
        <v>1.0802619012078891</v>
      </c>
      <c r="M45" s="16">
        <f t="shared" si="30"/>
        <v>1.1866011036786319</v>
      </c>
      <c r="N45" s="16">
        <f t="shared" si="30"/>
        <v>1.3146271324259946</v>
      </c>
      <c r="O45" s="16">
        <f t="shared" si="30"/>
        <v>1.1866298685254095</v>
      </c>
      <c r="P45" s="16">
        <f t="shared" si="30"/>
        <v>1.0512372709509195</v>
      </c>
      <c r="Q45" s="16">
        <f>H45</f>
        <v>262.579411797082</v>
      </c>
      <c r="S45" s="9" t="s">
        <v>38</v>
      </c>
      <c r="T45" s="9" t="str">
        <f>TEXT(ROUND(K45,2), "0.00")</f>
        <v>1.19</v>
      </c>
      <c r="U45" s="9" t="str">
        <f t="shared" ref="U45:X54" si="31">TEXT(ROUND(L45,2), "0.00")</f>
        <v>1.08</v>
      </c>
      <c r="V45" s="9" t="str">
        <f t="shared" si="31"/>
        <v>1.19</v>
      </c>
      <c r="W45" s="9" t="str">
        <f t="shared" si="31"/>
        <v>1.31</v>
      </c>
      <c r="X45" s="9" t="str">
        <f t="shared" si="31"/>
        <v>1.19</v>
      </c>
      <c r="Y45" s="9" t="str">
        <f>TEXT(ROUND(P45,3), "0.000")</f>
        <v>1.051</v>
      </c>
      <c r="AA45" s="21" t="s">
        <v>76</v>
      </c>
      <c r="AB45" s="21"/>
      <c r="AC45" s="21"/>
      <c r="AD45" s="21"/>
      <c r="AE45" s="21"/>
      <c r="AF45" s="21"/>
      <c r="AG45" s="21"/>
      <c r="AJ45" s="41" t="s">
        <v>174</v>
      </c>
      <c r="AK45" s="36" t="str">
        <f>T42</f>
        <v>262.48</v>
      </c>
      <c r="AL45" s="36" t="str">
        <f>T55</f>
        <v>262.58</v>
      </c>
      <c r="AM45" s="36" t="str">
        <f>T68</f>
        <v>257.18</v>
      </c>
      <c r="AN45" s="32"/>
      <c r="AO45" s="32"/>
    </row>
    <row r="46" spans="1:41" ht="16" x14ac:dyDescent="0.2">
      <c r="A46" s="4" t="s">
        <v>39</v>
      </c>
      <c r="B46" s="4">
        <v>1.57768613835676</v>
      </c>
      <c r="C46" s="4">
        <v>0.67505303254026805</v>
      </c>
      <c r="D46" s="4">
        <v>1.5766496576112199</v>
      </c>
      <c r="E46" s="4">
        <v>2.48672919688063</v>
      </c>
      <c r="F46" s="4">
        <v>1.5768311965374999</v>
      </c>
      <c r="G46" s="4">
        <v>0.461072262795445</v>
      </c>
      <c r="H46" s="4">
        <v>262.579411797082</v>
      </c>
      <c r="J46" s="16" t="s">
        <v>39</v>
      </c>
      <c r="K46" s="16">
        <f t="shared" ref="K46:K54" si="32">EXP(B46)</f>
        <v>4.8437351017970425</v>
      </c>
      <c r="L46" s="16">
        <f t="shared" si="30"/>
        <v>1.9641371363896545</v>
      </c>
      <c r="M46" s="16">
        <f t="shared" si="30"/>
        <v>4.8387172645226117</v>
      </c>
      <c r="N46" s="16">
        <f t="shared" si="30"/>
        <v>12.021890507292333</v>
      </c>
      <c r="O46" s="16">
        <f t="shared" si="30"/>
        <v>4.8395957597975174</v>
      </c>
      <c r="P46" s="16">
        <f t="shared" si="30"/>
        <v>1.5857734395619476</v>
      </c>
      <c r="Q46" s="16">
        <f t="shared" ref="Q46:Q54" si="33">H46</f>
        <v>262.579411797082</v>
      </c>
      <c r="S46" s="9" t="s">
        <v>39</v>
      </c>
      <c r="T46" s="9" t="str">
        <f t="shared" ref="T46:T54" si="34">TEXT(ROUND(K46,2), "0.00")</f>
        <v>4.84</v>
      </c>
      <c r="U46" s="9" t="str">
        <f t="shared" si="31"/>
        <v>1.96</v>
      </c>
      <c r="V46" s="9" t="str">
        <f t="shared" si="31"/>
        <v>4.84</v>
      </c>
      <c r="W46" s="9" t="str">
        <f t="shared" si="31"/>
        <v>12.02</v>
      </c>
      <c r="X46" s="9" t="str">
        <f t="shared" si="31"/>
        <v>4.84</v>
      </c>
      <c r="Y46" s="9" t="str">
        <f t="shared" ref="Y46:Y54" si="35">TEXT(ROUND(P46,3), "0.000")</f>
        <v>1.586</v>
      </c>
      <c r="AA46" s="22" t="s">
        <v>38</v>
      </c>
      <c r="AB46" s="9">
        <v>1.18</v>
      </c>
      <c r="AC46" s="9">
        <v>1.08</v>
      </c>
      <c r="AD46" s="9">
        <v>1.18</v>
      </c>
      <c r="AE46" s="9">
        <v>1.31</v>
      </c>
      <c r="AF46" s="9">
        <v>1.18</v>
      </c>
      <c r="AG46" s="9">
        <v>1.05</v>
      </c>
      <c r="AJ46" s="32" t="s">
        <v>193</v>
      </c>
      <c r="AK46" s="32"/>
      <c r="AL46" s="32"/>
      <c r="AM46" s="32"/>
      <c r="AN46" s="32"/>
      <c r="AO46" s="32"/>
    </row>
    <row r="47" spans="1:41" ht="16" x14ac:dyDescent="0.2">
      <c r="A47" s="4" t="s">
        <v>12</v>
      </c>
      <c r="B47" s="4">
        <v>0.121690294285309</v>
      </c>
      <c r="C47" s="4">
        <v>-0.332748249672362</v>
      </c>
      <c r="D47" s="4">
        <v>0.120642022030469</v>
      </c>
      <c r="E47" s="4">
        <v>0.58231335800039097</v>
      </c>
      <c r="F47" s="4">
        <v>0.12070543959483</v>
      </c>
      <c r="G47" s="4">
        <v>0.23255930596437699</v>
      </c>
      <c r="H47" s="4">
        <v>262.579411797082</v>
      </c>
      <c r="J47" s="16" t="s">
        <v>12</v>
      </c>
      <c r="K47" s="16">
        <f t="shared" si="32"/>
        <v>1.1294042646548765</v>
      </c>
      <c r="L47" s="16">
        <f t="shared" si="30"/>
        <v>0.71695066400263718</v>
      </c>
      <c r="M47" s="16">
        <f t="shared" si="30"/>
        <v>1.1282209618198649</v>
      </c>
      <c r="N47" s="16">
        <f t="shared" si="30"/>
        <v>1.7901749598344177</v>
      </c>
      <c r="O47" s="16">
        <f t="shared" si="30"/>
        <v>1.1282925131141048</v>
      </c>
      <c r="P47" s="16">
        <f t="shared" si="30"/>
        <v>1.2618252779049672</v>
      </c>
      <c r="Q47" s="16">
        <f t="shared" si="33"/>
        <v>262.579411797082</v>
      </c>
      <c r="S47" s="9" t="s">
        <v>12</v>
      </c>
      <c r="T47" s="9" t="str">
        <f t="shared" si="34"/>
        <v>1.13</v>
      </c>
      <c r="U47" s="9" t="str">
        <f t="shared" si="31"/>
        <v>0.72</v>
      </c>
      <c r="V47" s="9" t="str">
        <f t="shared" si="31"/>
        <v>1.13</v>
      </c>
      <c r="W47" s="9" t="str">
        <f t="shared" si="31"/>
        <v>1.79</v>
      </c>
      <c r="X47" s="9" t="str">
        <f t="shared" si="31"/>
        <v>1.13</v>
      </c>
      <c r="Y47" s="9" t="str">
        <f t="shared" si="35"/>
        <v>1.262</v>
      </c>
      <c r="AA47" s="22" t="s">
        <v>39</v>
      </c>
      <c r="AB47" s="9">
        <v>5.0199999999999996</v>
      </c>
      <c r="AC47" s="9">
        <v>2.08</v>
      </c>
      <c r="AD47" s="9">
        <v>5.0199999999999996</v>
      </c>
      <c r="AE47" s="9">
        <v>12.19</v>
      </c>
      <c r="AF47" s="9">
        <v>5.0199999999999996</v>
      </c>
      <c r="AG47" s="9">
        <v>1.5680000000000001</v>
      </c>
      <c r="AJ47" s="32" t="s">
        <v>177</v>
      </c>
      <c r="AK47" s="32"/>
      <c r="AL47" s="32"/>
      <c r="AM47" s="32"/>
      <c r="AN47" s="32"/>
      <c r="AO47" s="32"/>
    </row>
    <row r="48" spans="1:41" ht="16" x14ac:dyDescent="0.2">
      <c r="A48" s="4" t="s">
        <v>13</v>
      </c>
      <c r="B48" s="4">
        <v>-0.49184105661458799</v>
      </c>
      <c r="C48" s="4">
        <v>-1.13255622613906</v>
      </c>
      <c r="D48" s="4">
        <v>-0.49479604511048397</v>
      </c>
      <c r="E48" s="4">
        <v>0.16660355182078099</v>
      </c>
      <c r="F48" s="4">
        <v>-0.494496438415159</v>
      </c>
      <c r="G48" s="4">
        <v>0.32967449176758701</v>
      </c>
      <c r="H48" s="4">
        <v>262.579411797082</v>
      </c>
      <c r="J48" s="16" t="s">
        <v>13</v>
      </c>
      <c r="K48" s="16">
        <f t="shared" si="32"/>
        <v>0.61149955191762106</v>
      </c>
      <c r="L48" s="16">
        <f t="shared" si="30"/>
        <v>0.322208564866521</v>
      </c>
      <c r="M48" s="16">
        <f t="shared" si="30"/>
        <v>0.60969524494256355</v>
      </c>
      <c r="N48" s="16">
        <f t="shared" si="30"/>
        <v>1.1812858538381681</v>
      </c>
      <c r="O48" s="16">
        <f t="shared" si="30"/>
        <v>0.60987794108718352</v>
      </c>
      <c r="P48" s="16">
        <f t="shared" si="30"/>
        <v>1.3905154305693841</v>
      </c>
      <c r="Q48" s="16">
        <f t="shared" si="33"/>
        <v>262.579411797082</v>
      </c>
      <c r="S48" s="9" t="s">
        <v>13</v>
      </c>
      <c r="T48" s="9" t="str">
        <f t="shared" si="34"/>
        <v>0.61</v>
      </c>
      <c r="U48" s="9" t="str">
        <f t="shared" si="31"/>
        <v>0.32</v>
      </c>
      <c r="V48" s="9" t="str">
        <f t="shared" si="31"/>
        <v>0.61</v>
      </c>
      <c r="W48" s="9" t="str">
        <f t="shared" si="31"/>
        <v>1.18</v>
      </c>
      <c r="X48" s="9" t="str">
        <f t="shared" si="31"/>
        <v>0.61</v>
      </c>
      <c r="Y48" s="9" t="str">
        <f t="shared" si="35"/>
        <v>1.391</v>
      </c>
      <c r="AA48" s="22" t="s">
        <v>12</v>
      </c>
      <c r="AB48" s="9">
        <v>1.05</v>
      </c>
      <c r="AC48" s="9">
        <v>0.68</v>
      </c>
      <c r="AD48" s="9">
        <v>1.05</v>
      </c>
      <c r="AE48" s="9">
        <v>1.65</v>
      </c>
      <c r="AF48" s="9">
        <v>1.05</v>
      </c>
      <c r="AG48" s="9">
        <v>1.2529999999999999</v>
      </c>
      <c r="AJ48" s="32"/>
      <c r="AK48" s="32"/>
      <c r="AL48" s="32"/>
      <c r="AM48" s="32"/>
      <c r="AN48" s="32"/>
      <c r="AO48" s="32"/>
    </row>
    <row r="49" spans="1:41" ht="16" x14ac:dyDescent="0.2">
      <c r="A49" s="4" t="s">
        <v>40</v>
      </c>
      <c r="B49" s="4">
        <v>0.43588923064228902</v>
      </c>
      <c r="C49" s="4">
        <v>0.21191103153142599</v>
      </c>
      <c r="D49" s="4">
        <v>0.43499448962137699</v>
      </c>
      <c r="E49" s="4">
        <v>0.66504704111525104</v>
      </c>
      <c r="F49" s="4">
        <v>0.43503875777478201</v>
      </c>
      <c r="G49" s="4">
        <v>0.115438514430501</v>
      </c>
      <c r="H49" s="4">
        <v>262.579411797082</v>
      </c>
      <c r="J49" s="16" t="s">
        <v>40</v>
      </c>
      <c r="K49" s="16">
        <f t="shared" si="32"/>
        <v>1.5463374984508542</v>
      </c>
      <c r="L49" s="16">
        <f t="shared" si="30"/>
        <v>1.2360379117863873</v>
      </c>
      <c r="M49" s="16">
        <f t="shared" si="30"/>
        <v>1.5449545456433809</v>
      </c>
      <c r="N49" s="16">
        <f t="shared" si="30"/>
        <v>1.9445819944910325</v>
      </c>
      <c r="O49" s="16">
        <f t="shared" si="30"/>
        <v>1.5450229394420336</v>
      </c>
      <c r="P49" s="16">
        <f t="shared" si="30"/>
        <v>1.1223655031445514</v>
      </c>
      <c r="Q49" s="16">
        <f t="shared" si="33"/>
        <v>262.579411797082</v>
      </c>
      <c r="S49" s="9" t="s">
        <v>40</v>
      </c>
      <c r="T49" s="9" t="str">
        <f t="shared" si="34"/>
        <v>1.55</v>
      </c>
      <c r="U49" s="9" t="str">
        <f t="shared" si="31"/>
        <v>1.24</v>
      </c>
      <c r="V49" s="9" t="str">
        <f t="shared" si="31"/>
        <v>1.54</v>
      </c>
      <c r="W49" s="9" t="str">
        <f t="shared" si="31"/>
        <v>1.94</v>
      </c>
      <c r="X49" s="9" t="str">
        <f t="shared" si="31"/>
        <v>1.55</v>
      </c>
      <c r="Y49" s="9" t="str">
        <f t="shared" si="35"/>
        <v>1.122</v>
      </c>
      <c r="AA49" s="22" t="s">
        <v>13</v>
      </c>
      <c r="AB49" s="9">
        <v>0.62</v>
      </c>
      <c r="AC49" s="9">
        <v>0.33</v>
      </c>
      <c r="AD49" s="9">
        <v>0.62</v>
      </c>
      <c r="AE49" s="9">
        <v>1.1499999999999999</v>
      </c>
      <c r="AF49" s="9">
        <v>0.62</v>
      </c>
      <c r="AG49" s="9">
        <v>1.37</v>
      </c>
      <c r="AJ49" s="32"/>
      <c r="AK49" s="32"/>
      <c r="AL49" s="32"/>
      <c r="AM49" s="32"/>
      <c r="AN49" s="32"/>
      <c r="AO49" s="32"/>
    </row>
    <row r="50" spans="1:41" ht="16" x14ac:dyDescent="0.2">
      <c r="A50" s="4" t="s">
        <v>14</v>
      </c>
      <c r="B50" s="4">
        <v>-1.66448916957661</v>
      </c>
      <c r="C50" s="4">
        <v>-3.06367551097747</v>
      </c>
      <c r="D50" s="4">
        <v>-1.65981559093065</v>
      </c>
      <c r="E50" s="4">
        <v>-0.29280926693897302</v>
      </c>
      <c r="F50" s="4">
        <v>-1.66010654423639</v>
      </c>
      <c r="G50" s="4">
        <v>0.70582712892195099</v>
      </c>
      <c r="H50" s="4">
        <v>262.579411797082</v>
      </c>
      <c r="J50" s="16" t="s">
        <v>14</v>
      </c>
      <c r="K50" s="16">
        <f>EXP(B50)</f>
        <v>0.18928732701453968</v>
      </c>
      <c r="L50" s="16">
        <f t="shared" si="30"/>
        <v>4.6715675305697646E-2</v>
      </c>
      <c r="M50" s="16">
        <f t="shared" si="30"/>
        <v>0.19017404668708704</v>
      </c>
      <c r="N50" s="16">
        <f t="shared" si="30"/>
        <v>0.74616444535438053</v>
      </c>
      <c r="O50" s="16">
        <f t="shared" si="30"/>
        <v>0.1901187229682372</v>
      </c>
      <c r="P50" s="16">
        <f t="shared" si="30"/>
        <v>2.0255213595394705</v>
      </c>
      <c r="Q50" s="16">
        <f t="shared" si="33"/>
        <v>262.579411797082</v>
      </c>
      <c r="S50" s="9" t="s">
        <v>14</v>
      </c>
      <c r="T50" s="9" t="str">
        <f t="shared" si="34"/>
        <v>0.19</v>
      </c>
      <c r="U50" s="9" t="str">
        <f t="shared" si="31"/>
        <v>0.05</v>
      </c>
      <c r="V50" s="9" t="str">
        <f t="shared" si="31"/>
        <v>0.19</v>
      </c>
      <c r="W50" s="9" t="str">
        <f t="shared" si="31"/>
        <v>0.75</v>
      </c>
      <c r="X50" s="9" t="str">
        <f t="shared" si="31"/>
        <v>0.19</v>
      </c>
      <c r="Y50" s="9" t="str">
        <f t="shared" si="35"/>
        <v>2.026</v>
      </c>
      <c r="AA50" s="22" t="s">
        <v>40</v>
      </c>
      <c r="AB50" s="9">
        <v>1.58</v>
      </c>
      <c r="AC50" s="9">
        <v>1.27</v>
      </c>
      <c r="AD50" s="9">
        <v>1.58</v>
      </c>
      <c r="AE50" s="9">
        <v>1.97</v>
      </c>
      <c r="AF50" s="9">
        <v>1.58</v>
      </c>
      <c r="AG50" s="9">
        <v>1.1200000000000001</v>
      </c>
      <c r="AN50" s="32"/>
      <c r="AO50" s="32"/>
    </row>
    <row r="51" spans="1:41" ht="16" x14ac:dyDescent="0.2">
      <c r="A51" s="4" t="s">
        <v>45</v>
      </c>
      <c r="B51" s="4">
        <v>-0.223654707450016</v>
      </c>
      <c r="C51" s="4">
        <v>-0.49090902022162702</v>
      </c>
      <c r="D51" s="4">
        <v>-0.22193013820964</v>
      </c>
      <c r="E51" s="4">
        <v>3.3441015631283197E-2</v>
      </c>
      <c r="F51" s="4">
        <v>-0.22204166642388701</v>
      </c>
      <c r="G51" s="4">
        <v>0.13338395808161799</v>
      </c>
      <c r="H51" s="4">
        <v>262.579411797082</v>
      </c>
      <c r="J51" s="16" t="s">
        <v>45</v>
      </c>
      <c r="K51" s="16">
        <f>EXP(B51)</f>
        <v>0.79959117958578796</v>
      </c>
      <c r="L51" s="16">
        <f t="shared" si="30"/>
        <v>0.6120697574391587</v>
      </c>
      <c r="M51" s="16">
        <f t="shared" si="30"/>
        <v>0.80097131967048563</v>
      </c>
      <c r="N51" s="16">
        <f t="shared" si="30"/>
        <v>1.0340064517097052</v>
      </c>
      <c r="O51" s="16">
        <f t="shared" si="30"/>
        <v>0.80088199375081248</v>
      </c>
      <c r="P51" s="16">
        <f t="shared" si="30"/>
        <v>1.1426886586571812</v>
      </c>
      <c r="Q51" s="16">
        <f t="shared" si="33"/>
        <v>262.579411797082</v>
      </c>
      <c r="S51" s="9" t="s">
        <v>45</v>
      </c>
      <c r="T51" s="9" t="str">
        <f t="shared" si="34"/>
        <v>0.80</v>
      </c>
      <c r="U51" s="9" t="str">
        <f t="shared" si="31"/>
        <v>0.61</v>
      </c>
      <c r="V51" s="9" t="str">
        <f t="shared" si="31"/>
        <v>0.80</v>
      </c>
      <c r="W51" s="9" t="str">
        <f t="shared" si="31"/>
        <v>1.03</v>
      </c>
      <c r="X51" s="9" t="str">
        <f t="shared" si="31"/>
        <v>0.80</v>
      </c>
      <c r="Y51" s="9" t="str">
        <f t="shared" si="35"/>
        <v>1.143</v>
      </c>
      <c r="AA51" s="22" t="s">
        <v>65</v>
      </c>
      <c r="AB51" s="9">
        <v>0.23</v>
      </c>
      <c r="AC51" s="9">
        <v>0.06</v>
      </c>
      <c r="AD51" s="9">
        <v>0.23</v>
      </c>
      <c r="AE51" s="9">
        <v>0.87</v>
      </c>
      <c r="AF51" s="9">
        <v>0.23</v>
      </c>
      <c r="AG51" s="9">
        <v>1.994</v>
      </c>
      <c r="AJ51" s="32"/>
      <c r="AK51" s="32"/>
      <c r="AL51" s="32"/>
      <c r="AM51" s="32"/>
      <c r="AN51" s="32"/>
      <c r="AO51" s="32"/>
    </row>
    <row r="52" spans="1:41" ht="16" x14ac:dyDescent="0.2">
      <c r="A52" s="4" t="s">
        <v>46</v>
      </c>
      <c r="B52" s="4">
        <v>0.62347434057151696</v>
      </c>
      <c r="C52" s="4">
        <v>0.21660403935172701</v>
      </c>
      <c r="D52" s="4">
        <v>0.62162747731196799</v>
      </c>
      <c r="E52" s="4">
        <v>1.04130124768705</v>
      </c>
      <c r="F52" s="4">
        <v>0.62177107986064495</v>
      </c>
      <c r="G52" s="4">
        <v>0.20996163587778099</v>
      </c>
      <c r="H52" s="4">
        <v>262.579411797082</v>
      </c>
      <c r="J52" s="16" t="s">
        <v>46</v>
      </c>
      <c r="K52" s="16">
        <f t="shared" si="32"/>
        <v>1.8653978235661355</v>
      </c>
      <c r="L52" s="16">
        <f t="shared" si="30"/>
        <v>1.241852280139208</v>
      </c>
      <c r="M52" s="16">
        <f t="shared" si="30"/>
        <v>1.8619558682501038</v>
      </c>
      <c r="N52" s="16">
        <f t="shared" si="30"/>
        <v>2.8329009227664859</v>
      </c>
      <c r="O52" s="16">
        <f t="shared" si="30"/>
        <v>1.8622232690575677</v>
      </c>
      <c r="P52" s="16">
        <f t="shared" si="30"/>
        <v>1.2336307318887278</v>
      </c>
      <c r="Q52" s="16">
        <f t="shared" si="33"/>
        <v>262.579411797082</v>
      </c>
      <c r="S52" s="9" t="s">
        <v>46</v>
      </c>
      <c r="T52" s="9" t="str">
        <f t="shared" si="34"/>
        <v>1.87</v>
      </c>
      <c r="U52" s="9" t="str">
        <f t="shared" si="31"/>
        <v>1.24</v>
      </c>
      <c r="V52" s="9" t="str">
        <f t="shared" si="31"/>
        <v>1.86</v>
      </c>
      <c r="W52" s="9" t="str">
        <f t="shared" si="31"/>
        <v>2.83</v>
      </c>
      <c r="X52" s="9" t="str">
        <f t="shared" si="31"/>
        <v>1.86</v>
      </c>
      <c r="Y52" s="9" t="str">
        <f t="shared" si="35"/>
        <v>1.234</v>
      </c>
      <c r="AA52" s="22" t="s">
        <v>63</v>
      </c>
      <c r="AB52" s="9">
        <v>2.78</v>
      </c>
      <c r="AC52" s="9">
        <v>1.1200000000000001</v>
      </c>
      <c r="AD52" s="9">
        <v>2.78</v>
      </c>
      <c r="AE52" s="9">
        <v>6.77</v>
      </c>
      <c r="AF52" s="9">
        <v>2.78</v>
      </c>
      <c r="AG52" s="9">
        <v>1.579</v>
      </c>
      <c r="AN52" s="32"/>
      <c r="AO52" s="32"/>
    </row>
    <row r="53" spans="1:41" ht="16" x14ac:dyDescent="0.2">
      <c r="A53" s="4" t="s">
        <v>19</v>
      </c>
      <c r="B53" s="4">
        <v>304.91204411819302</v>
      </c>
      <c r="C53" s="4">
        <v>89.525342783103298</v>
      </c>
      <c r="D53" s="4">
        <v>259.50442063594102</v>
      </c>
      <c r="E53" s="4">
        <v>790.90032762205203</v>
      </c>
      <c r="F53" s="4">
        <v>190.080586134014</v>
      </c>
      <c r="G53" s="4">
        <v>186.06628617092801</v>
      </c>
      <c r="H53" s="4">
        <v>262.579411797082</v>
      </c>
      <c r="J53" s="16" t="s">
        <v>19</v>
      </c>
      <c r="K53" s="16">
        <v>282.87696033699098</v>
      </c>
      <c r="L53" s="16">
        <v>75.478613228355798</v>
      </c>
      <c r="M53" s="16">
        <v>235.42395181404601</v>
      </c>
      <c r="N53" s="16">
        <v>774.10956916819396</v>
      </c>
      <c r="O53" s="16">
        <v>165.410842029902</v>
      </c>
      <c r="P53" s="16">
        <v>186.79356798457999</v>
      </c>
      <c r="Q53" s="16">
        <f t="shared" si="33"/>
        <v>262.579411797082</v>
      </c>
      <c r="S53" s="9" t="s">
        <v>19</v>
      </c>
      <c r="T53" s="9" t="str">
        <f t="shared" si="34"/>
        <v>282.88</v>
      </c>
      <c r="U53" s="9" t="str">
        <f t="shared" si="31"/>
        <v>75.48</v>
      </c>
      <c r="V53" s="9" t="str">
        <f t="shared" si="31"/>
        <v>235.42</v>
      </c>
      <c r="W53" s="9" t="str">
        <f t="shared" si="31"/>
        <v>774.11</v>
      </c>
      <c r="X53" s="9" t="str">
        <f t="shared" si="31"/>
        <v>165.41</v>
      </c>
      <c r="Y53" s="9" t="str">
        <f t="shared" si="35"/>
        <v>186.794</v>
      </c>
      <c r="AA53" s="22" t="s">
        <v>66</v>
      </c>
      <c r="AB53" s="9">
        <v>0.74</v>
      </c>
      <c r="AC53" s="9">
        <v>0.56000000000000005</v>
      </c>
      <c r="AD53" s="9">
        <v>0.74</v>
      </c>
      <c r="AE53" s="9">
        <v>0.97</v>
      </c>
      <c r="AF53" s="9">
        <v>0.74</v>
      </c>
      <c r="AG53" s="9">
        <v>1.149</v>
      </c>
      <c r="AN53" s="32"/>
      <c r="AO53" s="32"/>
    </row>
    <row r="54" spans="1:41" ht="16" x14ac:dyDescent="0.2">
      <c r="A54" s="4" t="s">
        <v>20</v>
      </c>
      <c r="B54" s="4">
        <v>2.1970418930275502</v>
      </c>
      <c r="C54" s="4">
        <v>0.77027962351297596</v>
      </c>
      <c r="D54" s="4">
        <v>2.00197198923841</v>
      </c>
      <c r="E54" s="4">
        <v>4.7463462359610498</v>
      </c>
      <c r="F54" s="4">
        <v>1.6434832598815801</v>
      </c>
      <c r="G54" s="4">
        <v>1.03446622261461</v>
      </c>
      <c r="H54" s="4">
        <v>262.579411797082</v>
      </c>
      <c r="J54" s="16" t="s">
        <v>20</v>
      </c>
      <c r="K54" s="16">
        <f t="shared" si="32"/>
        <v>8.9983559913938365</v>
      </c>
      <c r="L54" s="16">
        <f t="shared" ref="L54" si="36">EXP(C54)</f>
        <v>2.1603702596551915</v>
      </c>
      <c r="M54" s="16">
        <f t="shared" ref="M54" si="37">EXP(D54)</f>
        <v>7.403641614553063</v>
      </c>
      <c r="N54" s="16">
        <f t="shared" ref="N54" si="38">EXP(E54)</f>
        <v>115.16273741073262</v>
      </c>
      <c r="O54" s="16">
        <f t="shared" ref="O54" si="39">EXP(F54)</f>
        <v>5.1731576178150309</v>
      </c>
      <c r="P54" s="16">
        <f t="shared" ref="P54" si="40">EXP(G54)</f>
        <v>2.8136039965443094</v>
      </c>
      <c r="Q54" s="16">
        <f t="shared" si="33"/>
        <v>262.579411797082</v>
      </c>
      <c r="S54" s="9" t="s">
        <v>20</v>
      </c>
      <c r="T54" s="9" t="str">
        <f t="shared" si="34"/>
        <v>9.00</v>
      </c>
      <c r="U54" s="9" t="str">
        <f t="shared" si="31"/>
        <v>2.16</v>
      </c>
      <c r="V54" s="9" t="str">
        <f t="shared" si="31"/>
        <v>7.40</v>
      </c>
      <c r="W54" s="9" t="str">
        <f t="shared" si="31"/>
        <v>115.16</v>
      </c>
      <c r="X54" s="9" t="str">
        <f t="shared" si="31"/>
        <v>5.17</v>
      </c>
      <c r="Y54" s="9" t="str">
        <f t="shared" si="35"/>
        <v>2.814</v>
      </c>
      <c r="AA54" s="22" t="s">
        <v>67</v>
      </c>
      <c r="AB54" s="9">
        <v>1.76</v>
      </c>
      <c r="AC54" s="9">
        <v>1.18</v>
      </c>
      <c r="AD54" s="9">
        <v>1.76</v>
      </c>
      <c r="AE54" s="9">
        <v>2.64</v>
      </c>
      <c r="AF54" s="9">
        <v>1.76</v>
      </c>
      <c r="AG54" s="9">
        <v>1.228</v>
      </c>
    </row>
    <row r="55" spans="1:41" x14ac:dyDescent="0.15">
      <c r="S55" s="9" t="s">
        <v>9</v>
      </c>
      <c r="T55" s="9" t="str">
        <f>TEXT(ROUND(Q54,2), "0.00")</f>
        <v>262.58</v>
      </c>
      <c r="AA55" s="22" t="s">
        <v>64</v>
      </c>
      <c r="AB55" s="9">
        <v>282.88</v>
      </c>
      <c r="AC55" s="9">
        <v>75.48</v>
      </c>
      <c r="AD55" s="9">
        <v>235.42</v>
      </c>
      <c r="AE55" s="9">
        <v>774.11</v>
      </c>
      <c r="AF55" s="9">
        <v>165.41</v>
      </c>
      <c r="AG55" s="9">
        <v>186.79400000000001</v>
      </c>
    </row>
    <row r="56" spans="1:41" x14ac:dyDescent="0.15">
      <c r="AA56" s="22" t="s">
        <v>20</v>
      </c>
      <c r="AB56" s="9">
        <v>1.91</v>
      </c>
      <c r="AC56" s="9">
        <v>0.57999999999999996</v>
      </c>
      <c r="AD56" s="9">
        <v>1.71</v>
      </c>
      <c r="AE56" s="9">
        <v>4.3899999999999997</v>
      </c>
      <c r="AF56" s="9">
        <v>1.34</v>
      </c>
      <c r="AG56" s="9">
        <v>0.997</v>
      </c>
    </row>
    <row r="57" spans="1:41" x14ac:dyDescent="0.15">
      <c r="AA57" s="22" t="s">
        <v>9</v>
      </c>
      <c r="AB57" s="9">
        <v>262.56</v>
      </c>
    </row>
    <row r="58" spans="1:41" ht="16" x14ac:dyDescent="0.2">
      <c r="A58" s="5" t="s">
        <v>38</v>
      </c>
      <c r="B58" s="5">
        <v>0.156669446302628</v>
      </c>
      <c r="C58" s="5">
        <v>6.4843225988536299E-2</v>
      </c>
      <c r="D58" s="5">
        <v>0.15616052104311801</v>
      </c>
      <c r="E58" s="5">
        <v>0.25142288309338101</v>
      </c>
      <c r="F58" s="5">
        <v>0.156167487692491</v>
      </c>
      <c r="G58" s="5">
        <v>4.75299229806391E-2</v>
      </c>
      <c r="H58" s="5">
        <v>257.17992202123003</v>
      </c>
      <c r="J58" s="17" t="s">
        <v>38</v>
      </c>
      <c r="K58" s="17">
        <f>EXP(B58)</f>
        <v>1.1696089314380094</v>
      </c>
      <c r="L58" s="17">
        <f t="shared" ref="L58:P65" si="41">EXP(C58)</f>
        <v>1.0669917346967506</v>
      </c>
      <c r="M58" s="17">
        <f t="shared" si="41"/>
        <v>1.169013839350594</v>
      </c>
      <c r="N58" s="17">
        <f t="shared" si="41"/>
        <v>1.2858537351778851</v>
      </c>
      <c r="O58" s="17">
        <f t="shared" si="41"/>
        <v>1.1690219834884936</v>
      </c>
      <c r="P58" s="17">
        <f t="shared" si="41"/>
        <v>1.0486775802107342</v>
      </c>
      <c r="Q58" s="17">
        <f>H58</f>
        <v>257.17992202123003</v>
      </c>
      <c r="S58" s="9" t="s">
        <v>38</v>
      </c>
      <c r="T58" s="9" t="str">
        <f>TEXT(ROUND(K58,2), "0.00")</f>
        <v>1.17</v>
      </c>
      <c r="U58" s="9" t="str">
        <f t="shared" ref="U58:X67" si="42">TEXT(ROUND(L58,2), "0.00")</f>
        <v>1.07</v>
      </c>
      <c r="V58" s="9" t="str">
        <f t="shared" si="42"/>
        <v>1.17</v>
      </c>
      <c r="W58" s="9" t="str">
        <f t="shared" si="42"/>
        <v>1.29</v>
      </c>
      <c r="X58" s="9" t="str">
        <f t="shared" si="42"/>
        <v>1.17</v>
      </c>
      <c r="Y58" s="9" t="str">
        <f>TEXT(ROUND(P58,3), "0.000")</f>
        <v>1.049</v>
      </c>
    </row>
    <row r="59" spans="1:41" ht="16" x14ac:dyDescent="0.2">
      <c r="A59" s="5" t="s">
        <v>39</v>
      </c>
      <c r="B59" s="5">
        <v>1.4630016022912</v>
      </c>
      <c r="C59" s="5">
        <v>0.55249765882615798</v>
      </c>
      <c r="D59" s="5">
        <v>1.46642444332663</v>
      </c>
      <c r="E59" s="5">
        <v>2.3540716696955801</v>
      </c>
      <c r="F59" s="5">
        <v>1.46644419209078</v>
      </c>
      <c r="G59" s="5">
        <v>0.45896147971763801</v>
      </c>
      <c r="H59" s="5">
        <v>257.17992202123003</v>
      </c>
      <c r="J59" s="17" t="s">
        <v>39</v>
      </c>
      <c r="K59" s="17">
        <f t="shared" ref="K59:K65" si="43">EXP(B59)</f>
        <v>4.3189037232753638</v>
      </c>
      <c r="L59" s="17">
        <f t="shared" si="41"/>
        <v>1.7375875033450738</v>
      </c>
      <c r="M59" s="17">
        <f t="shared" si="41"/>
        <v>4.333711972852031</v>
      </c>
      <c r="N59" s="17">
        <f t="shared" si="41"/>
        <v>10.528350536781199</v>
      </c>
      <c r="O59" s="17">
        <f t="shared" si="41"/>
        <v>4.333797559152786</v>
      </c>
      <c r="P59" s="17">
        <f t="shared" si="41"/>
        <v>1.5824297459678713</v>
      </c>
      <c r="Q59" s="17">
        <f t="shared" ref="Q59:Q67" si="44">H59</f>
        <v>257.17992202123003</v>
      </c>
      <c r="S59" s="9" t="s">
        <v>39</v>
      </c>
      <c r="T59" s="9" t="str">
        <f t="shared" ref="T59:T67" si="45">TEXT(ROUND(K59,2), "0.00")</f>
        <v>4.32</v>
      </c>
      <c r="U59" s="9" t="str">
        <f t="shared" si="42"/>
        <v>1.74</v>
      </c>
      <c r="V59" s="9" t="str">
        <f t="shared" si="42"/>
        <v>4.33</v>
      </c>
      <c r="W59" s="9" t="str">
        <f t="shared" si="42"/>
        <v>10.53</v>
      </c>
      <c r="X59" s="9" t="str">
        <f t="shared" si="42"/>
        <v>4.33</v>
      </c>
      <c r="Y59" s="9" t="str">
        <f t="shared" ref="Y59:Y67" si="46">TEXT(ROUND(P59,3), "0.000")</f>
        <v>1.582</v>
      </c>
      <c r="AA59" s="21" t="s">
        <v>75</v>
      </c>
      <c r="AB59" s="21"/>
      <c r="AC59" s="21"/>
      <c r="AD59" s="21"/>
      <c r="AE59" s="21"/>
      <c r="AF59" s="21"/>
      <c r="AG59" s="21"/>
    </row>
    <row r="60" spans="1:41" ht="16" x14ac:dyDescent="0.2">
      <c r="A60" s="5" t="s">
        <v>12</v>
      </c>
      <c r="B60" s="5">
        <v>0.13826461789646699</v>
      </c>
      <c r="C60" s="5">
        <v>-0.32593815388953001</v>
      </c>
      <c r="D60" s="5">
        <v>0.13874877090620799</v>
      </c>
      <c r="E60" s="5">
        <v>0.59978754601686302</v>
      </c>
      <c r="F60" s="5">
        <v>0.13877712134172801</v>
      </c>
      <c r="G60" s="5">
        <v>0.23572700825364301</v>
      </c>
      <c r="H60" s="5">
        <v>257.17992202123003</v>
      </c>
      <c r="J60" s="17" t="s">
        <v>12</v>
      </c>
      <c r="K60" s="17">
        <f t="shared" si="43"/>
        <v>1.1482793653451675</v>
      </c>
      <c r="L60" s="17">
        <f t="shared" si="41"/>
        <v>0.72184982965553524</v>
      </c>
      <c r="M60" s="17">
        <f t="shared" si="41"/>
        <v>1.1488354428583614</v>
      </c>
      <c r="N60" s="17">
        <f t="shared" si="41"/>
        <v>1.8217317251129155</v>
      </c>
      <c r="O60" s="17">
        <f t="shared" si="41"/>
        <v>1.1488680133051983</v>
      </c>
      <c r="P60" s="17">
        <f t="shared" si="41"/>
        <v>1.2658287022069616</v>
      </c>
      <c r="Q60" s="17">
        <f t="shared" si="44"/>
        <v>257.17992202123003</v>
      </c>
      <c r="S60" s="9" t="s">
        <v>12</v>
      </c>
      <c r="T60" s="9" t="str">
        <f t="shared" si="45"/>
        <v>1.15</v>
      </c>
      <c r="U60" s="9" t="str">
        <f t="shared" si="42"/>
        <v>0.72</v>
      </c>
      <c r="V60" s="9" t="str">
        <f t="shared" si="42"/>
        <v>1.15</v>
      </c>
      <c r="W60" s="9" t="str">
        <f t="shared" si="42"/>
        <v>1.82</v>
      </c>
      <c r="X60" s="9" t="str">
        <f t="shared" si="42"/>
        <v>1.15</v>
      </c>
      <c r="Y60" s="9" t="str">
        <f t="shared" si="46"/>
        <v>1.266</v>
      </c>
      <c r="AA60" s="22" t="s">
        <v>38</v>
      </c>
      <c r="AB60" s="9">
        <v>1.17</v>
      </c>
      <c r="AC60" s="9">
        <v>1.07</v>
      </c>
      <c r="AD60" s="9">
        <v>1.17</v>
      </c>
      <c r="AE60" s="9">
        <v>1.28</v>
      </c>
      <c r="AF60" s="9">
        <v>1.17</v>
      </c>
      <c r="AG60" s="9">
        <v>1.048</v>
      </c>
    </row>
    <row r="61" spans="1:41" ht="16" x14ac:dyDescent="0.2">
      <c r="A61" s="5" t="s">
        <v>13</v>
      </c>
      <c r="B61" s="5">
        <v>-0.78014428503002398</v>
      </c>
      <c r="C61" s="5">
        <v>-1.4273796838450801</v>
      </c>
      <c r="D61" s="5">
        <v>-0.77931760941926997</v>
      </c>
      <c r="E61" s="5">
        <v>-0.13738403178219599</v>
      </c>
      <c r="F61" s="5">
        <v>-0.77923980010640503</v>
      </c>
      <c r="G61" s="5">
        <v>0.32792833458559001</v>
      </c>
      <c r="H61" s="5">
        <v>257.17992202123003</v>
      </c>
      <c r="J61" s="17" t="s">
        <v>13</v>
      </c>
      <c r="K61" s="17">
        <f t="shared" si="43"/>
        <v>0.45833987495147682</v>
      </c>
      <c r="L61" s="17">
        <f t="shared" si="41"/>
        <v>0.23993680955109464</v>
      </c>
      <c r="M61" s="17">
        <f t="shared" si="41"/>
        <v>0.45871893000373171</v>
      </c>
      <c r="N61" s="17">
        <f t="shared" si="41"/>
        <v>0.87163542614317902</v>
      </c>
      <c r="O61" s="17">
        <f t="shared" si="41"/>
        <v>0.45875462399711797</v>
      </c>
      <c r="P61" s="17">
        <f t="shared" si="41"/>
        <v>1.3880894907161705</v>
      </c>
      <c r="Q61" s="17">
        <f t="shared" si="44"/>
        <v>257.17992202123003</v>
      </c>
      <c r="S61" s="9" t="s">
        <v>13</v>
      </c>
      <c r="T61" s="9" t="str">
        <f t="shared" si="45"/>
        <v>0.46</v>
      </c>
      <c r="U61" s="9" t="str">
        <f t="shared" si="42"/>
        <v>0.24</v>
      </c>
      <c r="V61" s="9" t="str">
        <f t="shared" si="42"/>
        <v>0.46</v>
      </c>
      <c r="W61" s="9" t="str">
        <f t="shared" si="42"/>
        <v>0.87</v>
      </c>
      <c r="X61" s="9" t="str">
        <f t="shared" si="42"/>
        <v>0.46</v>
      </c>
      <c r="Y61" s="9" t="str">
        <f t="shared" si="46"/>
        <v>1.388</v>
      </c>
      <c r="AA61" s="22" t="s">
        <v>39</v>
      </c>
      <c r="AB61" s="9">
        <v>4.5199999999999996</v>
      </c>
      <c r="AC61" s="9">
        <v>1.86</v>
      </c>
      <c r="AD61" s="9">
        <v>4.53</v>
      </c>
      <c r="AE61" s="9">
        <v>10.84</v>
      </c>
      <c r="AF61" s="9">
        <v>4.53</v>
      </c>
      <c r="AG61" s="9">
        <v>1.5669999999999999</v>
      </c>
    </row>
    <row r="62" spans="1:41" ht="16" x14ac:dyDescent="0.2">
      <c r="A62" s="5" t="s">
        <v>40</v>
      </c>
      <c r="B62" s="5">
        <v>1.46118296896505</v>
      </c>
      <c r="C62" s="5">
        <v>0.811006805401282</v>
      </c>
      <c r="D62" s="5">
        <v>1.4515858077346599</v>
      </c>
      <c r="E62" s="5">
        <v>2.16873807397831</v>
      </c>
      <c r="F62" s="5">
        <v>1.4524063345903</v>
      </c>
      <c r="G62" s="5">
        <v>0.34438703519074798</v>
      </c>
      <c r="H62" s="5">
        <v>257.17992202123003</v>
      </c>
      <c r="J62" s="17" t="s">
        <v>40</v>
      </c>
      <c r="K62" s="17">
        <f t="shared" si="43"/>
        <v>4.3110563589338211</v>
      </c>
      <c r="L62" s="17">
        <f t="shared" si="41"/>
        <v>2.2501723322654543</v>
      </c>
      <c r="M62" s="17">
        <f t="shared" si="41"/>
        <v>4.2698803583860787</v>
      </c>
      <c r="N62" s="17">
        <f t="shared" si="41"/>
        <v>8.747238704868618</v>
      </c>
      <c r="O62" s="17">
        <f t="shared" si="41"/>
        <v>4.2733853476627708</v>
      </c>
      <c r="P62" s="17">
        <f t="shared" si="41"/>
        <v>1.4111246847422556</v>
      </c>
      <c r="Q62" s="17">
        <f t="shared" si="44"/>
        <v>257.17992202123003</v>
      </c>
      <c r="S62" s="9" t="s">
        <v>40</v>
      </c>
      <c r="T62" s="9" t="str">
        <f t="shared" si="45"/>
        <v>4.31</v>
      </c>
      <c r="U62" s="9" t="str">
        <f t="shared" si="42"/>
        <v>2.25</v>
      </c>
      <c r="V62" s="9" t="str">
        <f t="shared" si="42"/>
        <v>4.27</v>
      </c>
      <c r="W62" s="9" t="str">
        <f t="shared" si="42"/>
        <v>8.75</v>
      </c>
      <c r="X62" s="9" t="str">
        <f t="shared" si="42"/>
        <v>4.27</v>
      </c>
      <c r="Y62" s="9" t="str">
        <f t="shared" si="46"/>
        <v>1.411</v>
      </c>
      <c r="AA62" s="22" t="s">
        <v>12</v>
      </c>
      <c r="AB62" s="9">
        <v>1.0900000000000001</v>
      </c>
      <c r="AC62" s="9">
        <v>0.69</v>
      </c>
      <c r="AD62" s="9">
        <v>1.0900000000000001</v>
      </c>
      <c r="AE62" s="9">
        <v>1.71</v>
      </c>
      <c r="AF62" s="9">
        <v>1.0900000000000001</v>
      </c>
      <c r="AG62" s="9">
        <v>1.2589999999999999</v>
      </c>
    </row>
    <row r="63" spans="1:41" ht="16" x14ac:dyDescent="0.2">
      <c r="A63" s="5" t="s">
        <v>14</v>
      </c>
      <c r="B63" s="5">
        <v>-0.18383410375349499</v>
      </c>
      <c r="C63" s="5">
        <v>-1.0749785229103901</v>
      </c>
      <c r="D63" s="5">
        <v>-0.18007228237136699</v>
      </c>
      <c r="E63" s="5">
        <v>0.68585474344463004</v>
      </c>
      <c r="F63" s="5">
        <v>-0.180081947493443</v>
      </c>
      <c r="G63" s="5">
        <v>0.44831052061496002</v>
      </c>
      <c r="H63" s="5">
        <v>257.17992202123003</v>
      </c>
      <c r="J63" s="17" t="s">
        <v>14</v>
      </c>
      <c r="K63" s="17">
        <f t="shared" si="43"/>
        <v>0.83207383030258031</v>
      </c>
      <c r="L63" s="17">
        <f t="shared" si="41"/>
        <v>0.34130508546218291</v>
      </c>
      <c r="M63" s="17">
        <f t="shared" si="41"/>
        <v>0.83520983828164175</v>
      </c>
      <c r="N63" s="17">
        <f t="shared" si="41"/>
        <v>1.9854681763740551</v>
      </c>
      <c r="O63" s="17">
        <f t="shared" si="41"/>
        <v>0.83520176591560602</v>
      </c>
      <c r="P63" s="17">
        <f t="shared" si="41"/>
        <v>1.5656647913720831</v>
      </c>
      <c r="Q63" s="17">
        <f t="shared" si="44"/>
        <v>257.17992202123003</v>
      </c>
      <c r="S63" s="9" t="s">
        <v>14</v>
      </c>
      <c r="T63" s="9" t="str">
        <f t="shared" si="45"/>
        <v>0.83</v>
      </c>
      <c r="U63" s="9" t="str">
        <f t="shared" si="42"/>
        <v>0.34</v>
      </c>
      <c r="V63" s="9" t="str">
        <f t="shared" si="42"/>
        <v>0.84</v>
      </c>
      <c r="W63" s="9" t="str">
        <f t="shared" si="42"/>
        <v>1.99</v>
      </c>
      <c r="X63" s="9" t="str">
        <f t="shared" si="42"/>
        <v>0.84</v>
      </c>
      <c r="Y63" s="9" t="str">
        <f t="shared" si="46"/>
        <v>1.566</v>
      </c>
      <c r="AA63" s="22" t="s">
        <v>13</v>
      </c>
      <c r="AB63" s="9">
        <v>0.47</v>
      </c>
      <c r="AC63" s="9">
        <v>0.25</v>
      </c>
      <c r="AD63" s="9">
        <v>0.47</v>
      </c>
      <c r="AE63" s="9">
        <v>0.88</v>
      </c>
      <c r="AF63" s="9">
        <v>0.47</v>
      </c>
      <c r="AG63" s="9">
        <v>1.3779999999999999</v>
      </c>
    </row>
    <row r="64" spans="1:41" ht="16" x14ac:dyDescent="0.2">
      <c r="A64" s="5" t="s">
        <v>45</v>
      </c>
      <c r="B64" s="5">
        <v>0.17209659019701401</v>
      </c>
      <c r="C64" s="5">
        <v>-2.84194086556992E-2</v>
      </c>
      <c r="D64" s="5">
        <v>0.171821181130968</v>
      </c>
      <c r="E64" s="5">
        <v>0.37425702595921301</v>
      </c>
      <c r="F64" s="5">
        <v>0.171846186955009</v>
      </c>
      <c r="G64" s="5">
        <v>0.10255460293457599</v>
      </c>
      <c r="H64" s="5">
        <v>257.17992202123003</v>
      </c>
      <c r="J64" s="17" t="s">
        <v>45</v>
      </c>
      <c r="K64" s="17">
        <f t="shared" si="43"/>
        <v>1.1877925567903025</v>
      </c>
      <c r="L64" s="17">
        <f t="shared" si="41"/>
        <v>0.97198062421487119</v>
      </c>
      <c r="M64" s="17">
        <f t="shared" si="41"/>
        <v>1.1874654729945693</v>
      </c>
      <c r="N64" s="17">
        <f t="shared" si="41"/>
        <v>1.4539107952533494</v>
      </c>
      <c r="O64" s="17">
        <f t="shared" si="41"/>
        <v>1.1874951669185005</v>
      </c>
      <c r="P64" s="17">
        <f t="shared" si="41"/>
        <v>1.1079978001894919</v>
      </c>
      <c r="Q64" s="17">
        <f t="shared" si="44"/>
        <v>257.17992202123003</v>
      </c>
      <c r="S64" s="9" t="s">
        <v>45</v>
      </c>
      <c r="T64" s="9" t="str">
        <f t="shared" si="45"/>
        <v>1.19</v>
      </c>
      <c r="U64" s="9" t="str">
        <f t="shared" si="42"/>
        <v>0.97</v>
      </c>
      <c r="V64" s="9" t="str">
        <f t="shared" si="42"/>
        <v>1.19</v>
      </c>
      <c r="W64" s="9" t="str">
        <f t="shared" si="42"/>
        <v>1.45</v>
      </c>
      <c r="X64" s="9" t="str">
        <f t="shared" si="42"/>
        <v>1.19</v>
      </c>
      <c r="Y64" s="9" t="str">
        <f t="shared" si="46"/>
        <v>1.108</v>
      </c>
      <c r="AA64" s="22" t="s">
        <v>68</v>
      </c>
      <c r="AB64" s="9">
        <v>4</v>
      </c>
      <c r="AC64" s="9">
        <v>2.17</v>
      </c>
      <c r="AD64" s="9">
        <v>3.97</v>
      </c>
      <c r="AE64" s="9">
        <v>7.73</v>
      </c>
      <c r="AF64" s="9">
        <v>3.97</v>
      </c>
      <c r="AG64" s="9">
        <v>1.381</v>
      </c>
    </row>
    <row r="65" spans="1:33" ht="16" x14ac:dyDescent="0.2">
      <c r="A65" s="5" t="s">
        <v>50</v>
      </c>
      <c r="B65" s="5">
        <v>-0.28714338635279302</v>
      </c>
      <c r="C65" s="5">
        <v>-0.44479152124638599</v>
      </c>
      <c r="D65" s="5">
        <v>-0.28550924488644802</v>
      </c>
      <c r="E65" s="5">
        <v>-0.13918002775551699</v>
      </c>
      <c r="F65" s="5">
        <v>-0.28562582122269498</v>
      </c>
      <c r="G65" s="5">
        <v>7.7609039575604902E-2</v>
      </c>
      <c r="H65" s="5">
        <v>257.17992202123003</v>
      </c>
      <c r="J65" s="17" t="s">
        <v>50</v>
      </c>
      <c r="K65" s="17">
        <f t="shared" si="43"/>
        <v>0.75040412341230067</v>
      </c>
      <c r="L65" s="17">
        <f t="shared" si="41"/>
        <v>0.64095788820583732</v>
      </c>
      <c r="M65" s="17">
        <f t="shared" si="41"/>
        <v>0.75163139239934595</v>
      </c>
      <c r="N65" s="17">
        <f t="shared" si="41"/>
        <v>0.87007137736069606</v>
      </c>
      <c r="O65" s="17">
        <f t="shared" si="41"/>
        <v>0.75154377507256453</v>
      </c>
      <c r="P65" s="17">
        <f t="shared" si="41"/>
        <v>1.0807000651106877</v>
      </c>
      <c r="Q65" s="17">
        <f t="shared" si="44"/>
        <v>257.17992202123003</v>
      </c>
      <c r="S65" s="9" t="s">
        <v>50</v>
      </c>
      <c r="T65" s="9" t="str">
        <f t="shared" si="45"/>
        <v>0.75</v>
      </c>
      <c r="U65" s="9" t="str">
        <f t="shared" si="42"/>
        <v>0.64</v>
      </c>
      <c r="V65" s="9" t="str">
        <f t="shared" si="42"/>
        <v>0.75</v>
      </c>
      <c r="W65" s="9" t="str">
        <f t="shared" si="42"/>
        <v>0.87</v>
      </c>
      <c r="X65" s="9" t="str">
        <f t="shared" si="42"/>
        <v>0.75</v>
      </c>
      <c r="Y65" s="9" t="str">
        <f t="shared" si="46"/>
        <v>1.081</v>
      </c>
      <c r="AA65" s="22" t="s">
        <v>14</v>
      </c>
      <c r="AB65" s="9">
        <v>0.87</v>
      </c>
      <c r="AC65" s="9">
        <v>0.37</v>
      </c>
      <c r="AD65" s="9">
        <v>0.87</v>
      </c>
      <c r="AE65" s="9">
        <v>2.04</v>
      </c>
      <c r="AF65" s="9">
        <v>0.87</v>
      </c>
      <c r="AG65" s="9">
        <v>1.548</v>
      </c>
    </row>
    <row r="66" spans="1:33" ht="16" x14ac:dyDescent="0.2">
      <c r="A66" s="5" t="s">
        <v>19</v>
      </c>
      <c r="B66" s="5">
        <v>588.707561071898</v>
      </c>
      <c r="C66" s="5">
        <v>58.950182157461199</v>
      </c>
      <c r="D66" s="5">
        <v>389.70062404203497</v>
      </c>
      <c r="E66" s="5">
        <v>2325.3713521411701</v>
      </c>
      <c r="F66" s="5">
        <v>158.829810467588</v>
      </c>
      <c r="G66" s="5">
        <v>662.76115560147605</v>
      </c>
      <c r="H66" s="5">
        <v>257.17992202123003</v>
      </c>
      <c r="J66" s="17" t="s">
        <v>19</v>
      </c>
      <c r="K66" s="17">
        <v>518.93616884541495</v>
      </c>
      <c r="L66" s="17">
        <v>47.284075243981903</v>
      </c>
      <c r="M66" s="17">
        <v>314.34710429322098</v>
      </c>
      <c r="N66" s="17">
        <v>2261.8079682428402</v>
      </c>
      <c r="O66" s="17">
        <v>122.500096326669</v>
      </c>
      <c r="P66" s="17">
        <v>684.74280925686401</v>
      </c>
      <c r="Q66" s="17">
        <f t="shared" si="44"/>
        <v>257.17992202123003</v>
      </c>
      <c r="S66" s="9" t="s">
        <v>19</v>
      </c>
      <c r="T66" s="9" t="str">
        <f t="shared" si="45"/>
        <v>518.94</v>
      </c>
      <c r="U66" s="9" t="str">
        <f t="shared" si="42"/>
        <v>47.28</v>
      </c>
      <c r="V66" s="9" t="str">
        <f t="shared" si="42"/>
        <v>314.35</v>
      </c>
      <c r="W66" s="9" t="str">
        <f t="shared" si="42"/>
        <v>2261.81</v>
      </c>
      <c r="X66" s="9" t="str">
        <f t="shared" si="42"/>
        <v>122.50</v>
      </c>
      <c r="Y66" s="9" t="str">
        <f t="shared" si="46"/>
        <v>684.743</v>
      </c>
      <c r="AA66" s="22" t="s">
        <v>63</v>
      </c>
      <c r="AB66" s="9">
        <v>2.5499999999999998</v>
      </c>
      <c r="AC66" s="9">
        <v>1.07</v>
      </c>
      <c r="AD66" s="9">
        <v>2.56</v>
      </c>
      <c r="AE66" s="9">
        <v>6.01</v>
      </c>
      <c r="AF66" s="9">
        <v>2.56</v>
      </c>
      <c r="AG66" s="9">
        <v>1.552</v>
      </c>
    </row>
    <row r="67" spans="1:33" ht="16" x14ac:dyDescent="0.2">
      <c r="A67" s="5" t="s">
        <v>20</v>
      </c>
      <c r="B67" s="5">
        <v>1.5216737437816501</v>
      </c>
      <c r="C67" s="5">
        <v>0.45980282475092499</v>
      </c>
      <c r="D67" s="5">
        <v>1.3261837744729399</v>
      </c>
      <c r="E67" s="5">
        <v>3.7327641306033099</v>
      </c>
      <c r="F67" s="5">
        <v>1.00232951754888</v>
      </c>
      <c r="G67" s="5">
        <v>0.86181538080797104</v>
      </c>
      <c r="H67" s="5">
        <v>257.17992202123003</v>
      </c>
      <c r="J67" s="17" t="s">
        <v>20</v>
      </c>
      <c r="K67" s="17">
        <f t="shared" ref="K67" si="47">EXP(B67)</f>
        <v>4.5798843365629569</v>
      </c>
      <c r="L67" s="17">
        <f t="shared" ref="L67" si="48">EXP(C67)</f>
        <v>1.5837616756027901</v>
      </c>
      <c r="M67" s="17">
        <f t="shared" ref="M67" si="49">EXP(D67)</f>
        <v>3.7666415710426437</v>
      </c>
      <c r="N67" s="17">
        <f t="shared" ref="N67" si="50">EXP(E67)</f>
        <v>41.794474032133841</v>
      </c>
      <c r="O67" s="17">
        <f t="shared" ref="O67" si="51">EXP(F67)</f>
        <v>2.7246214949965388</v>
      </c>
      <c r="P67" s="17">
        <f t="shared" ref="P67" si="52">EXP(G67)</f>
        <v>2.3674546266577763</v>
      </c>
      <c r="Q67" s="17">
        <f t="shared" si="44"/>
        <v>257.17992202123003</v>
      </c>
      <c r="S67" s="9" t="s">
        <v>20</v>
      </c>
      <c r="T67" s="9" t="str">
        <f t="shared" si="45"/>
        <v>4.58</v>
      </c>
      <c r="U67" s="9" t="str">
        <f t="shared" si="42"/>
        <v>1.58</v>
      </c>
      <c r="V67" s="9" t="str">
        <f t="shared" si="42"/>
        <v>3.77</v>
      </c>
      <c r="W67" s="9" t="str">
        <f t="shared" si="42"/>
        <v>41.79</v>
      </c>
      <c r="X67" s="9" t="str">
        <f t="shared" si="42"/>
        <v>2.72</v>
      </c>
      <c r="Y67" s="9" t="str">
        <f t="shared" si="46"/>
        <v>2.367</v>
      </c>
      <c r="AA67" s="22" t="s">
        <v>66</v>
      </c>
      <c r="AB67" s="9">
        <v>1.08</v>
      </c>
      <c r="AC67" s="9">
        <v>0.87</v>
      </c>
      <c r="AD67" s="9">
        <v>1.08</v>
      </c>
      <c r="AE67" s="9">
        <v>1.35</v>
      </c>
      <c r="AF67" s="9">
        <v>1.08</v>
      </c>
      <c r="AG67" s="9">
        <v>1.1180000000000001</v>
      </c>
    </row>
    <row r="68" spans="1:33" x14ac:dyDescent="0.15">
      <c r="S68" s="9" t="s">
        <v>9</v>
      </c>
      <c r="T68" s="9" t="str">
        <f>TEXT(ROUND(Q67,2), "0.00")</f>
        <v>257.18</v>
      </c>
      <c r="AA68" s="22" t="s">
        <v>67</v>
      </c>
      <c r="AB68" s="9">
        <v>0.77</v>
      </c>
      <c r="AC68" s="9">
        <v>0.66</v>
      </c>
      <c r="AD68" s="9">
        <v>0.77</v>
      </c>
      <c r="AE68" s="9">
        <v>0.89</v>
      </c>
      <c r="AF68" s="9">
        <v>0.77</v>
      </c>
      <c r="AG68" s="9">
        <v>1.077</v>
      </c>
    </row>
    <row r="69" spans="1:33" x14ac:dyDescent="0.15">
      <c r="AA69" s="22" t="s">
        <v>64</v>
      </c>
      <c r="AB69" s="9">
        <v>518.94000000000005</v>
      </c>
      <c r="AC69" s="9">
        <v>47.28</v>
      </c>
      <c r="AD69" s="9">
        <v>314.35000000000002</v>
      </c>
      <c r="AE69" s="9">
        <v>2261.81</v>
      </c>
      <c r="AF69" s="9">
        <v>122.5</v>
      </c>
      <c r="AG69" s="9">
        <v>684.74300000000005</v>
      </c>
    </row>
    <row r="70" spans="1:33" x14ac:dyDescent="0.15">
      <c r="AA70" s="22" t="s">
        <v>20</v>
      </c>
      <c r="AB70" s="9">
        <v>1.44</v>
      </c>
      <c r="AC70" s="9">
        <v>0.34</v>
      </c>
      <c r="AD70" s="9">
        <v>1.22</v>
      </c>
      <c r="AE70" s="9">
        <v>3.77</v>
      </c>
      <c r="AF70" s="9">
        <v>0.85</v>
      </c>
      <c r="AG70" s="9">
        <v>0.90900000000000003</v>
      </c>
    </row>
    <row r="71" spans="1:33" x14ac:dyDescent="0.15">
      <c r="AA71" s="24" t="s">
        <v>9</v>
      </c>
      <c r="AB71" s="21">
        <v>256.33999999999997</v>
      </c>
      <c r="AC71" s="21"/>
      <c r="AD71" s="21"/>
      <c r="AE71" s="21"/>
      <c r="AF71" s="21"/>
      <c r="AG71" s="21"/>
    </row>
    <row r="72" spans="1:33" x14ac:dyDescent="0.15">
      <c r="AA72" s="22" t="s">
        <v>128</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97BC-FE4C-C54C-AAD0-5B1F4B9C9796}">
  <dimension ref="A1:AB117"/>
  <sheetViews>
    <sheetView topLeftCell="H1" zoomScale="125" workbookViewId="0">
      <selection activeCell="J40" sqref="J39:J40"/>
    </sheetView>
  </sheetViews>
  <sheetFormatPr baseColWidth="10" defaultRowHeight="16" x14ac:dyDescent="0.2"/>
  <cols>
    <col min="1" max="1" width="17.6640625" customWidth="1"/>
    <col min="2" max="2" width="63" customWidth="1"/>
    <col min="3" max="3" width="26.1640625" customWidth="1"/>
    <col min="10" max="10" width="13" customWidth="1"/>
    <col min="11" max="12" width="14.5" customWidth="1"/>
    <col min="13" max="13" width="34.5" customWidth="1"/>
    <col min="17" max="17" width="16.83203125" customWidth="1"/>
    <col min="18" max="18" width="12.1640625" customWidth="1"/>
    <col min="19" max="19" width="33.83203125" customWidth="1"/>
    <col min="21" max="21" width="15" bestFit="1" customWidth="1"/>
    <col min="22" max="22" width="13.6640625" bestFit="1" customWidth="1"/>
    <col min="23" max="23" width="20.1640625" customWidth="1"/>
    <col min="25" max="25" width="21.83203125" customWidth="1"/>
    <col min="26" max="26" width="15" bestFit="1" customWidth="1"/>
    <col min="27" max="27" width="17.1640625" customWidth="1"/>
  </cols>
  <sheetData>
    <row r="1" spans="1:28" x14ac:dyDescent="0.2">
      <c r="A1" s="32" t="s">
        <v>0</v>
      </c>
      <c r="B1" s="32" t="s">
        <v>1</v>
      </c>
      <c r="C1" s="32" t="s">
        <v>2</v>
      </c>
      <c r="D1" s="32" t="s">
        <v>3</v>
      </c>
      <c r="E1" s="32" t="s">
        <v>4</v>
      </c>
      <c r="F1" s="32" t="s">
        <v>5</v>
      </c>
      <c r="G1" s="32" t="s">
        <v>6</v>
      </c>
      <c r="H1" s="32" t="s">
        <v>7</v>
      </c>
      <c r="I1" s="32" t="s">
        <v>8</v>
      </c>
      <c r="J1" s="32" t="s">
        <v>9</v>
      </c>
      <c r="K1" s="1"/>
      <c r="L1" s="44" t="s">
        <v>179</v>
      </c>
      <c r="M1" s="1"/>
      <c r="N1" s="1"/>
      <c r="O1" s="1"/>
      <c r="P1" s="1"/>
      <c r="Q1" s="1"/>
      <c r="R1" s="1"/>
      <c r="S1" s="1"/>
      <c r="T1" s="1"/>
      <c r="U1" s="1"/>
      <c r="V1" s="1"/>
      <c r="W1" s="1"/>
      <c r="X1" s="1"/>
      <c r="Y1" s="1"/>
      <c r="Z1" s="1"/>
      <c r="AA1" s="1"/>
      <c r="AB1" s="1"/>
    </row>
    <row r="2" spans="1:28" x14ac:dyDescent="0.2">
      <c r="A2" s="32" t="s">
        <v>10</v>
      </c>
      <c r="B2" s="32" t="s">
        <v>11</v>
      </c>
      <c r="C2" s="32" t="s">
        <v>12</v>
      </c>
      <c r="D2" s="32">
        <v>0.62039678139909105</v>
      </c>
      <c r="E2" s="32">
        <v>0.32828092756757199</v>
      </c>
      <c r="F2" s="32">
        <v>0.62039678139909105</v>
      </c>
      <c r="G2" s="32">
        <v>0.91251263523060899</v>
      </c>
      <c r="H2" s="32">
        <v>0.62039678139909105</v>
      </c>
      <c r="I2" s="32">
        <v>0.14904143960587601</v>
      </c>
      <c r="J2" s="32">
        <v>364.020625307795</v>
      </c>
      <c r="K2" s="1"/>
      <c r="L2" s="1" t="s">
        <v>180</v>
      </c>
      <c r="M2" s="1" t="str">
        <f t="shared" ref="M2:M11" si="0">C2</f>
        <v>Social vulnerability</v>
      </c>
      <c r="N2" s="1">
        <f t="shared" ref="N2:N11" si="1">G2-E2</f>
        <v>0.584231707663037</v>
      </c>
      <c r="O2" s="1"/>
      <c r="P2" s="1"/>
      <c r="Q2" s="1"/>
      <c r="R2" s="1"/>
      <c r="S2" s="1"/>
      <c r="T2" s="1"/>
      <c r="U2" s="1"/>
      <c r="V2" s="1"/>
      <c r="W2" s="1"/>
      <c r="X2" s="1"/>
      <c r="Y2" s="1"/>
      <c r="Z2" s="1"/>
      <c r="AA2" s="1"/>
      <c r="AB2" s="1"/>
    </row>
    <row r="3" spans="1:28" x14ac:dyDescent="0.2">
      <c r="A3" s="32" t="s">
        <v>10</v>
      </c>
      <c r="B3" s="32" t="s">
        <v>11</v>
      </c>
      <c r="C3" s="32" t="s">
        <v>13</v>
      </c>
      <c r="D3" s="32">
        <v>0.48070000734988899</v>
      </c>
      <c r="E3" s="32">
        <v>0.18855540259349099</v>
      </c>
      <c r="F3" s="32">
        <v>0.48070000734988899</v>
      </c>
      <c r="G3" s="32">
        <v>0.77284461210628597</v>
      </c>
      <c r="H3" s="32">
        <v>0.48070000734988899</v>
      </c>
      <c r="I3" s="32">
        <v>0.149056108714648</v>
      </c>
      <c r="J3" s="32">
        <v>364.020625307795</v>
      </c>
      <c r="K3" s="1"/>
      <c r="L3" s="1"/>
      <c r="M3" s="1" t="str">
        <f t="shared" si="0"/>
        <v>Host availability</v>
      </c>
      <c r="N3" s="1">
        <f t="shared" si="1"/>
        <v>0.58428920951279495</v>
      </c>
      <c r="O3" s="1"/>
      <c r="P3" s="1"/>
      <c r="Q3" s="1"/>
      <c r="R3" s="1"/>
      <c r="S3" s="44"/>
      <c r="T3" s="1"/>
      <c r="U3" s="1"/>
      <c r="V3" s="1"/>
      <c r="W3" s="1"/>
      <c r="X3" s="1"/>
      <c r="Y3" s="44"/>
      <c r="Z3" s="1"/>
      <c r="AA3" s="1"/>
      <c r="AB3" s="1"/>
    </row>
    <row r="4" spans="1:28" x14ac:dyDescent="0.2">
      <c r="A4" s="32" t="s">
        <v>10</v>
      </c>
      <c r="B4" s="32" t="s">
        <v>11</v>
      </c>
      <c r="C4" s="32" t="s">
        <v>14</v>
      </c>
      <c r="D4" s="32">
        <v>-1.2903547436095899</v>
      </c>
      <c r="E4" s="32">
        <v>-2.49156416796776</v>
      </c>
      <c r="F4" s="32">
        <v>-1.2903547436095899</v>
      </c>
      <c r="G4" s="32">
        <v>-8.9145319251410296E-2</v>
      </c>
      <c r="H4" s="32">
        <v>-1.2903547436095899</v>
      </c>
      <c r="I4" s="32">
        <v>0.61287321289225805</v>
      </c>
      <c r="J4" s="32">
        <v>364.020625307795</v>
      </c>
      <c r="K4" s="1"/>
      <c r="L4" s="1"/>
      <c r="M4" s="1" t="str">
        <f t="shared" si="0"/>
        <v>Mobility</v>
      </c>
      <c r="N4" s="1">
        <f t="shared" si="1"/>
        <v>2.4024188487163496</v>
      </c>
      <c r="O4" s="51"/>
      <c r="P4" s="51"/>
      <c r="Q4" s="52"/>
      <c r="R4" s="1"/>
      <c r="S4" s="44"/>
      <c r="T4" s="1"/>
      <c r="U4" s="51"/>
      <c r="V4" s="51"/>
      <c r="W4" s="52"/>
      <c r="X4" s="1"/>
      <c r="Y4" s="1"/>
      <c r="Z4" s="45"/>
      <c r="AA4" s="45"/>
      <c r="AB4" s="1"/>
    </row>
    <row r="5" spans="1:28" x14ac:dyDescent="0.2">
      <c r="A5" s="32" t="s">
        <v>10</v>
      </c>
      <c r="B5" s="32" t="s">
        <v>11</v>
      </c>
      <c r="C5" s="32" t="s">
        <v>15</v>
      </c>
      <c r="D5" s="32">
        <v>-0.63637545272524398</v>
      </c>
      <c r="E5" s="32">
        <v>-1.2525740520459001</v>
      </c>
      <c r="F5" s="32">
        <v>-0.63637545272524398</v>
      </c>
      <c r="G5" s="32">
        <v>-2.01768534045936E-2</v>
      </c>
      <c r="H5" s="32">
        <v>-0.63637545272524398</v>
      </c>
      <c r="I5" s="32">
        <v>0.31439281751151898</v>
      </c>
      <c r="J5" s="32">
        <v>364.020625307795</v>
      </c>
      <c r="K5" s="1"/>
      <c r="L5" s="1"/>
      <c r="M5" s="1" t="str">
        <f t="shared" si="0"/>
        <v>Connected</v>
      </c>
      <c r="N5" s="1">
        <f t="shared" si="1"/>
        <v>1.2323971986413065</v>
      </c>
      <c r="O5" s="1"/>
      <c r="P5" s="1"/>
      <c r="Q5" s="45"/>
      <c r="R5" s="1"/>
      <c r="S5" s="1"/>
      <c r="T5" s="1"/>
      <c r="U5" s="1"/>
      <c r="V5" s="1"/>
      <c r="W5" s="45"/>
      <c r="X5" s="1"/>
      <c r="Y5" s="1"/>
      <c r="Z5" s="45"/>
      <c r="AA5" s="45"/>
      <c r="AB5" s="1"/>
    </row>
    <row r="6" spans="1:28" x14ac:dyDescent="0.2">
      <c r="A6" s="32" t="s">
        <v>10</v>
      </c>
      <c r="B6" s="32" t="s">
        <v>11</v>
      </c>
      <c r="C6" s="32" t="s">
        <v>16</v>
      </c>
      <c r="D6" s="32">
        <v>1.6357986103751201</v>
      </c>
      <c r="E6" s="32">
        <v>0.25342577975337299</v>
      </c>
      <c r="F6" s="32">
        <v>1.6357986103751201</v>
      </c>
      <c r="G6" s="32">
        <v>3.0181714409968698</v>
      </c>
      <c r="H6" s="32">
        <v>1.6357986103751201</v>
      </c>
      <c r="I6" s="32">
        <v>0.70530522067024304</v>
      </c>
      <c r="J6" s="32">
        <v>364.020625307795</v>
      </c>
      <c r="K6" s="1"/>
      <c r="L6" s="1"/>
      <c r="M6" s="1" t="str">
        <f t="shared" si="0"/>
        <v>mobility:connected</v>
      </c>
      <c r="N6" s="1">
        <f t="shared" si="1"/>
        <v>2.7647456612434969</v>
      </c>
      <c r="O6" s="1"/>
      <c r="P6" s="1"/>
      <c r="Q6" s="45"/>
      <c r="R6" s="1"/>
      <c r="S6" s="1"/>
      <c r="T6" s="1"/>
      <c r="U6" s="1"/>
      <c r="V6" s="1"/>
      <c r="W6" s="46"/>
      <c r="X6" s="1"/>
      <c r="Y6" s="1"/>
      <c r="Z6" s="45"/>
      <c r="AA6" s="45"/>
      <c r="AB6" s="1"/>
    </row>
    <row r="7" spans="1:28" x14ac:dyDescent="0.2">
      <c r="A7" s="55" t="s">
        <v>17</v>
      </c>
      <c r="B7" s="55" t="s">
        <v>18</v>
      </c>
      <c r="C7" s="55" t="s">
        <v>12</v>
      </c>
      <c r="D7" s="55">
        <v>0.61884109355618599</v>
      </c>
      <c r="E7" s="55">
        <v>0.29329182822695998</v>
      </c>
      <c r="F7" s="55">
        <v>0.61810398375655595</v>
      </c>
      <c r="G7" s="55">
        <v>0.94862684742802805</v>
      </c>
      <c r="H7" s="55">
        <v>0.618113370745772</v>
      </c>
      <c r="I7" s="55">
        <v>0.167031586703557</v>
      </c>
      <c r="J7" s="55">
        <v>329.87965647219897</v>
      </c>
      <c r="K7" s="1"/>
      <c r="L7" s="1" t="s">
        <v>181</v>
      </c>
      <c r="M7" s="1" t="str">
        <f>C7</f>
        <v>Social vulnerability</v>
      </c>
      <c r="N7" s="1">
        <f t="shared" si="1"/>
        <v>0.65533501920106807</v>
      </c>
      <c r="O7" s="1"/>
      <c r="P7" s="1"/>
      <c r="Q7" s="45"/>
      <c r="R7" s="1"/>
      <c r="S7" s="1"/>
      <c r="T7" s="1"/>
      <c r="U7" s="1"/>
      <c r="V7" s="1"/>
      <c r="W7" s="46"/>
      <c r="X7" s="1"/>
      <c r="Y7" s="1"/>
      <c r="Z7" s="45"/>
      <c r="AA7" s="45"/>
      <c r="AB7" s="1"/>
    </row>
    <row r="8" spans="1:28" x14ac:dyDescent="0.2">
      <c r="A8" s="55" t="s">
        <v>17</v>
      </c>
      <c r="B8" s="55" t="s">
        <v>18</v>
      </c>
      <c r="C8" s="55" t="s">
        <v>13</v>
      </c>
      <c r="D8" s="55">
        <v>0.60532096799655499</v>
      </c>
      <c r="E8" s="55">
        <v>0.27227053022069497</v>
      </c>
      <c r="F8" s="55">
        <v>0.60426064824570502</v>
      </c>
      <c r="G8" s="55">
        <v>0.94447670790079796</v>
      </c>
      <c r="H8" s="55">
        <v>0.60427704199895405</v>
      </c>
      <c r="I8" s="55">
        <v>0.17131753693203</v>
      </c>
      <c r="J8" s="55">
        <v>329.87965647219897</v>
      </c>
      <c r="K8" s="1"/>
      <c r="L8" s="1"/>
      <c r="M8" s="1" t="str">
        <f t="shared" si="0"/>
        <v>Host availability</v>
      </c>
      <c r="N8" s="1">
        <f t="shared" si="1"/>
        <v>0.67220617768010293</v>
      </c>
      <c r="O8" s="1"/>
      <c r="P8" s="1"/>
      <c r="Q8" s="45"/>
      <c r="R8" s="1"/>
      <c r="S8" s="1"/>
      <c r="T8" s="1"/>
      <c r="U8" s="1"/>
      <c r="V8" s="1"/>
      <c r="W8" s="46"/>
      <c r="X8" s="1"/>
      <c r="Y8" s="1"/>
      <c r="Z8" s="1"/>
      <c r="AA8" s="1"/>
      <c r="AB8" s="1"/>
    </row>
    <row r="9" spans="1:28" x14ac:dyDescent="0.2">
      <c r="A9" s="55" t="s">
        <v>17</v>
      </c>
      <c r="B9" s="55" t="s">
        <v>18</v>
      </c>
      <c r="C9" s="55" t="s">
        <v>14</v>
      </c>
      <c r="D9" s="55">
        <v>-1.4430890464948001</v>
      </c>
      <c r="E9" s="55">
        <v>-2.73220031035456</v>
      </c>
      <c r="F9" s="55">
        <v>-1.4420701824006801</v>
      </c>
      <c r="G9" s="55">
        <v>-0.15980820442090199</v>
      </c>
      <c r="H9" s="55">
        <v>-1.4420746001617299</v>
      </c>
      <c r="I9" s="55">
        <v>0.65583811717305296</v>
      </c>
      <c r="J9" s="55">
        <v>329.87965647219897</v>
      </c>
      <c r="K9" s="1"/>
      <c r="L9" s="1"/>
      <c r="M9" s="1" t="str">
        <f t="shared" si="0"/>
        <v>Mobility</v>
      </c>
      <c r="N9" s="1">
        <f t="shared" si="1"/>
        <v>2.5723921059336581</v>
      </c>
      <c r="O9" s="1"/>
      <c r="P9" s="1"/>
      <c r="Q9" s="45"/>
      <c r="R9" s="1"/>
      <c r="S9" s="1"/>
      <c r="T9" s="1"/>
      <c r="U9" s="1"/>
      <c r="V9" s="1"/>
      <c r="W9" s="1"/>
      <c r="X9" s="1"/>
      <c r="Y9" s="1"/>
      <c r="Z9" s="1"/>
      <c r="AA9" s="1"/>
      <c r="AB9" s="1"/>
    </row>
    <row r="10" spans="1:28" x14ac:dyDescent="0.2">
      <c r="A10" s="55" t="s">
        <v>17</v>
      </c>
      <c r="B10" s="55" t="s">
        <v>18</v>
      </c>
      <c r="C10" s="55" t="s">
        <v>15</v>
      </c>
      <c r="D10" s="55">
        <v>-0.47532327601791102</v>
      </c>
      <c r="E10" s="55">
        <v>-1.1574214435746799</v>
      </c>
      <c r="F10" s="55">
        <v>-0.47473554786038002</v>
      </c>
      <c r="G10" s="55">
        <v>0.20337518582563299</v>
      </c>
      <c r="H10" s="55">
        <v>-0.47474938708539399</v>
      </c>
      <c r="I10" s="55">
        <v>0.346884951166189</v>
      </c>
      <c r="J10" s="55">
        <v>329.87965647219897</v>
      </c>
      <c r="K10" s="1"/>
      <c r="L10" s="1"/>
      <c r="M10" s="1" t="str">
        <f t="shared" si="0"/>
        <v>Connected</v>
      </c>
      <c r="N10" s="1">
        <f t="shared" si="1"/>
        <v>1.3607966294003129</v>
      </c>
      <c r="O10" s="1"/>
      <c r="P10" s="1"/>
      <c r="Q10" s="45"/>
      <c r="R10" s="1"/>
      <c r="S10" s="1"/>
      <c r="T10" s="1"/>
      <c r="U10" s="1"/>
      <c r="V10" s="1"/>
      <c r="W10" s="1"/>
      <c r="X10" s="1"/>
      <c r="Y10" s="1"/>
      <c r="Z10" s="45"/>
      <c r="AA10" s="45"/>
      <c r="AB10" s="1"/>
    </row>
    <row r="11" spans="1:28" x14ac:dyDescent="0.2">
      <c r="A11" s="55" t="s">
        <v>17</v>
      </c>
      <c r="B11" s="55" t="s">
        <v>18</v>
      </c>
      <c r="C11" s="55" t="s">
        <v>16</v>
      </c>
      <c r="D11" s="55">
        <v>1.6342748467531401</v>
      </c>
      <c r="E11" s="55">
        <v>0.14966247275245001</v>
      </c>
      <c r="F11" s="55">
        <v>1.6338097228744</v>
      </c>
      <c r="G11" s="55">
        <v>3.1215497907319301</v>
      </c>
      <c r="H11" s="55">
        <v>1.6338120177647999</v>
      </c>
      <c r="I11" s="55">
        <v>0.75770130297253602</v>
      </c>
      <c r="J11" s="55">
        <v>329.87965647219897</v>
      </c>
      <c r="K11" s="1"/>
      <c r="L11" s="1"/>
      <c r="M11" s="1" t="str">
        <f t="shared" si="0"/>
        <v>mobility:connected</v>
      </c>
      <c r="N11" s="1">
        <f t="shared" si="1"/>
        <v>2.9718873179794802</v>
      </c>
      <c r="O11" s="1"/>
      <c r="P11" s="1"/>
      <c r="Q11" s="1"/>
      <c r="R11" s="1"/>
      <c r="S11" s="44"/>
      <c r="T11" s="1"/>
      <c r="U11" s="1"/>
      <c r="V11" s="1"/>
      <c r="W11" s="1"/>
      <c r="X11" s="1"/>
      <c r="Y11" s="44"/>
      <c r="Z11" s="1"/>
      <c r="AA11" s="1"/>
      <c r="AB11" s="1"/>
    </row>
    <row r="12" spans="1:28" x14ac:dyDescent="0.2">
      <c r="A12" s="55" t="s">
        <v>17</v>
      </c>
      <c r="B12" s="55" t="s">
        <v>18</v>
      </c>
      <c r="C12" s="55" t="s">
        <v>19</v>
      </c>
      <c r="D12" s="55">
        <v>3468.4689758119598</v>
      </c>
      <c r="E12" s="55">
        <v>1235.12896633789</v>
      </c>
      <c r="F12" s="55">
        <v>3035.35316939416</v>
      </c>
      <c r="G12" s="55">
        <v>8292.7284207474895</v>
      </c>
      <c r="H12" s="55">
        <v>2356.0853235955901</v>
      </c>
      <c r="I12" s="55">
        <v>1856.7314607498099</v>
      </c>
      <c r="J12" s="55">
        <v>329.87965647219897</v>
      </c>
      <c r="K12" s="1"/>
      <c r="L12" s="44" t="s">
        <v>182</v>
      </c>
      <c r="M12" s="1" t="str">
        <f>C7</f>
        <v>Social vulnerability</v>
      </c>
      <c r="N12" s="44">
        <f>(N7-N2)/N2*100</f>
        <v>12.170395855858066</v>
      </c>
      <c r="O12" s="51"/>
      <c r="P12" s="51"/>
      <c r="Q12" s="52"/>
      <c r="R12" s="1"/>
      <c r="S12" s="44"/>
      <c r="T12" s="1"/>
      <c r="U12" s="51"/>
      <c r="V12" s="51"/>
      <c r="W12" s="52"/>
      <c r="X12" s="1"/>
      <c r="Y12" s="1"/>
      <c r="Z12" s="45"/>
      <c r="AA12" s="45"/>
      <c r="AB12" s="1"/>
    </row>
    <row r="13" spans="1:28" x14ac:dyDescent="0.2">
      <c r="A13" s="55" t="s">
        <v>17</v>
      </c>
      <c r="B13" s="55" t="s">
        <v>18</v>
      </c>
      <c r="C13" s="55" t="s">
        <v>20</v>
      </c>
      <c r="D13" s="55">
        <v>1.0980550475850199</v>
      </c>
      <c r="E13" s="55">
        <v>0.63607989928046205</v>
      </c>
      <c r="F13" s="55">
        <v>1.06536389493488</v>
      </c>
      <c r="G13" s="55">
        <v>1.74827179198467</v>
      </c>
      <c r="H13" s="55">
        <v>1.00521352778506</v>
      </c>
      <c r="I13" s="55">
        <v>0.284543473080278</v>
      </c>
      <c r="J13" s="55">
        <v>329.87965647219897</v>
      </c>
      <c r="K13" s="1"/>
      <c r="L13" s="44"/>
      <c r="M13" s="1" t="str">
        <f>C8</f>
        <v>Host availability</v>
      </c>
      <c r="N13" s="44">
        <f>(N8-N3)/N3*100</f>
        <v>15.046823856394143</v>
      </c>
      <c r="O13" s="1"/>
      <c r="P13" s="1"/>
      <c r="Q13" s="45"/>
      <c r="R13" s="1"/>
      <c r="S13" s="1"/>
      <c r="T13" s="1"/>
      <c r="U13" s="1"/>
      <c r="V13" s="1"/>
      <c r="W13" s="45"/>
      <c r="X13" s="1"/>
      <c r="Y13" s="1"/>
      <c r="Z13" s="45"/>
      <c r="AA13" s="45"/>
      <c r="AB13" s="1"/>
    </row>
    <row r="14" spans="1:28" x14ac:dyDescent="0.2">
      <c r="A14" s="32" t="s">
        <v>21</v>
      </c>
      <c r="B14" s="32" t="s">
        <v>22</v>
      </c>
      <c r="C14" s="32" t="s">
        <v>12</v>
      </c>
      <c r="D14" s="32">
        <v>0.62941269110729503</v>
      </c>
      <c r="E14" s="32">
        <v>0.30585920897686503</v>
      </c>
      <c r="F14" s="32">
        <v>0.62867765982650803</v>
      </c>
      <c r="G14" s="32">
        <v>0.95718918889537696</v>
      </c>
      <c r="H14" s="32">
        <v>0.62868650283523997</v>
      </c>
      <c r="I14" s="32">
        <v>0.166013004838344</v>
      </c>
      <c r="J14" s="32">
        <v>332.03528865229498</v>
      </c>
      <c r="K14" s="1"/>
      <c r="L14" s="44"/>
      <c r="M14" s="1" t="str">
        <f>C9</f>
        <v>Mobility</v>
      </c>
      <c r="N14" s="44">
        <f>(N9-N4)/N4*100</f>
        <v>7.0750883971846905</v>
      </c>
      <c r="O14" s="1"/>
      <c r="P14" s="1"/>
      <c r="Q14" s="46"/>
      <c r="R14" s="1"/>
      <c r="S14" s="1"/>
      <c r="T14" s="1"/>
      <c r="U14" s="1"/>
      <c r="V14" s="1"/>
      <c r="W14" s="46"/>
      <c r="X14" s="1"/>
      <c r="Y14" s="1"/>
      <c r="Z14" s="48"/>
      <c r="AA14" s="45"/>
      <c r="AB14" s="1"/>
    </row>
    <row r="15" spans="1:28" x14ac:dyDescent="0.2">
      <c r="A15" s="32" t="s">
        <v>21</v>
      </c>
      <c r="B15" s="32" t="s">
        <v>22</v>
      </c>
      <c r="C15" s="32" t="s">
        <v>13</v>
      </c>
      <c r="D15" s="32">
        <v>0.58090560289069704</v>
      </c>
      <c r="E15" s="32">
        <v>0.25267234191344501</v>
      </c>
      <c r="F15" s="32">
        <v>0.57992602974926</v>
      </c>
      <c r="G15" s="32">
        <v>0.91477784565723796</v>
      </c>
      <c r="H15" s="32">
        <v>0.57994065285848895</v>
      </c>
      <c r="I15" s="32">
        <v>0.16874893328434001</v>
      </c>
      <c r="J15" s="32">
        <v>332.03528865229498</v>
      </c>
      <c r="K15" s="1"/>
      <c r="L15" s="44"/>
      <c r="M15" s="1" t="str">
        <f>C10</f>
        <v>Connected</v>
      </c>
      <c r="N15" s="44">
        <f>(N10-N5)/N5*100</f>
        <v>10.418672721794907</v>
      </c>
      <c r="O15" s="1"/>
      <c r="P15" s="1"/>
      <c r="Q15" s="1"/>
      <c r="R15" s="1"/>
      <c r="S15" s="1"/>
      <c r="T15" s="1"/>
      <c r="U15" s="1"/>
      <c r="V15" s="1"/>
      <c r="W15" s="1"/>
      <c r="X15" s="1"/>
      <c r="Y15" s="1"/>
      <c r="Z15" s="48"/>
      <c r="AA15" s="45"/>
      <c r="AB15" s="1"/>
    </row>
    <row r="16" spans="1:28" x14ac:dyDescent="0.2">
      <c r="A16" s="32" t="s">
        <v>21</v>
      </c>
      <c r="B16" s="32" t="s">
        <v>22</v>
      </c>
      <c r="C16" s="32" t="s">
        <v>14</v>
      </c>
      <c r="D16" s="32">
        <v>-0.301882332347509</v>
      </c>
      <c r="E16" s="32">
        <v>-0.99212837425927602</v>
      </c>
      <c r="F16" s="32">
        <v>-0.30073376257800899</v>
      </c>
      <c r="G16" s="32">
        <v>0.38180019117372699</v>
      </c>
      <c r="H16" s="32">
        <v>-0.30073699690474898</v>
      </c>
      <c r="I16" s="32">
        <v>0.35023691033666199</v>
      </c>
      <c r="J16" s="32">
        <v>332.03528865229498</v>
      </c>
      <c r="K16" s="1"/>
      <c r="L16" s="44" t="s">
        <v>146</v>
      </c>
      <c r="M16" s="1" t="str">
        <f>C11</f>
        <v>mobility:connected</v>
      </c>
      <c r="N16" s="44">
        <f>(N11-N6)/N6*100</f>
        <v>7.4922499975212009</v>
      </c>
      <c r="O16" s="1"/>
      <c r="P16" s="1"/>
      <c r="Q16" s="1"/>
      <c r="R16" s="1"/>
      <c r="S16" s="1"/>
      <c r="T16" s="1"/>
      <c r="U16" s="1"/>
      <c r="V16" s="1"/>
      <c r="W16" s="1"/>
      <c r="X16" s="1"/>
      <c r="Y16" s="1"/>
      <c r="Z16" s="1"/>
      <c r="AA16" s="1"/>
      <c r="AB16" s="1"/>
    </row>
    <row r="17" spans="1:28" x14ac:dyDescent="0.2">
      <c r="A17" s="32" t="s">
        <v>21</v>
      </c>
      <c r="B17" s="32" t="s">
        <v>22</v>
      </c>
      <c r="C17" s="32" t="s">
        <v>15</v>
      </c>
      <c r="D17" s="32">
        <v>-0.127247346272646</v>
      </c>
      <c r="E17" s="32">
        <v>-0.72804594708949699</v>
      </c>
      <c r="F17" s="32">
        <v>-0.12681185154552099</v>
      </c>
      <c r="G17" s="32">
        <v>0.47102904124101802</v>
      </c>
      <c r="H17" s="32">
        <v>-0.12682296726443901</v>
      </c>
      <c r="I17" s="32">
        <v>0.30566512314380001</v>
      </c>
      <c r="J17" s="32">
        <v>332.03528865229498</v>
      </c>
      <c r="K17" s="1"/>
      <c r="L17" s="44"/>
      <c r="M17" s="44" t="s">
        <v>201</v>
      </c>
      <c r="N17" s="1" t="str">
        <f>CONCATENATE(ROUND(MIN(N12:N16),0), "-", ROUND(MAX(N12:N16),0), "%")</f>
        <v>7-15%</v>
      </c>
      <c r="O17" s="1"/>
      <c r="P17" s="1"/>
      <c r="Q17" s="1"/>
      <c r="R17" s="1"/>
      <c r="S17" s="1"/>
      <c r="T17" s="1"/>
      <c r="U17" s="1"/>
      <c r="V17" s="1"/>
      <c r="W17" s="1"/>
      <c r="X17" s="1"/>
      <c r="Y17" s="1"/>
      <c r="Z17" s="1"/>
      <c r="AA17" s="1"/>
      <c r="AB17" s="1"/>
    </row>
    <row r="18" spans="1:28" x14ac:dyDescent="0.2">
      <c r="A18" s="32" t="s">
        <v>21</v>
      </c>
      <c r="B18" s="32" t="s">
        <v>22</v>
      </c>
      <c r="C18" s="32" t="s">
        <v>19</v>
      </c>
      <c r="D18" s="32">
        <v>3401.48285978883</v>
      </c>
      <c r="E18" s="32">
        <v>1214.0303824964101</v>
      </c>
      <c r="F18" s="32">
        <v>2980.8160058507601</v>
      </c>
      <c r="G18" s="32">
        <v>8103.4796244313702</v>
      </c>
      <c r="H18" s="32">
        <v>2318.7610894458999</v>
      </c>
      <c r="I18" s="32">
        <v>1811.4858735862899</v>
      </c>
      <c r="J18" s="32">
        <v>332.03528865229498</v>
      </c>
      <c r="K18" s="1"/>
      <c r="L18" s="44"/>
      <c r="M18" s="44" t="s">
        <v>53</v>
      </c>
      <c r="N18" s="1" t="str">
        <f>CONCATENATE(ROUND((J6-J7)/J6*100,1), "%")</f>
        <v>9.4%</v>
      </c>
      <c r="O18" s="1"/>
      <c r="P18" s="1"/>
      <c r="Q18" s="1"/>
      <c r="R18" s="1"/>
      <c r="S18" s="1"/>
      <c r="T18" s="1"/>
      <c r="U18" s="1"/>
      <c r="V18" s="1"/>
      <c r="W18" s="1"/>
      <c r="X18" s="1"/>
      <c r="Y18" s="1"/>
      <c r="Z18" s="1"/>
      <c r="AA18" s="1"/>
      <c r="AB18" s="1"/>
    </row>
    <row r="19" spans="1:28" x14ac:dyDescent="0.2">
      <c r="A19" s="32" t="s">
        <v>21</v>
      </c>
      <c r="B19" s="32" t="s">
        <v>22</v>
      </c>
      <c r="C19" s="32" t="s">
        <v>20</v>
      </c>
      <c r="D19" s="32">
        <v>1.09541966824996</v>
      </c>
      <c r="E19" s="32">
        <v>0.63833778584962597</v>
      </c>
      <c r="F19" s="32">
        <v>1.06342898975919</v>
      </c>
      <c r="G19" s="32">
        <v>1.7367082638356099</v>
      </c>
      <c r="H19" s="32">
        <v>1.0045606401935601</v>
      </c>
      <c r="I19" s="32">
        <v>0.28096555437461501</v>
      </c>
      <c r="J19" s="32">
        <v>332.03528865229498</v>
      </c>
      <c r="K19" s="1"/>
      <c r="L19" s="1"/>
      <c r="M19" s="1"/>
      <c r="N19" s="1"/>
      <c r="O19" s="1"/>
      <c r="P19" s="1"/>
      <c r="Q19" s="1"/>
      <c r="R19" s="1"/>
      <c r="S19" s="1"/>
      <c r="T19" s="1"/>
      <c r="U19" s="1"/>
      <c r="V19" s="1"/>
      <c r="W19" s="1"/>
      <c r="X19" s="1"/>
      <c r="Y19" s="1"/>
      <c r="Z19" s="1"/>
      <c r="AA19" s="1"/>
      <c r="AB19" s="1"/>
    </row>
    <row r="20" spans="1:28" x14ac:dyDescent="0.2">
      <c r="A20" s="70" t="s">
        <v>23</v>
      </c>
      <c r="B20" s="70" t="s">
        <v>24</v>
      </c>
      <c r="C20" s="70" t="s">
        <v>14</v>
      </c>
      <c r="D20" s="70">
        <v>0.128260142609287</v>
      </c>
      <c r="E20" s="70">
        <v>-0.43908550371574701</v>
      </c>
      <c r="F20" s="70">
        <v>0.128260142609287</v>
      </c>
      <c r="G20" s="70">
        <v>0.69560578893432001</v>
      </c>
      <c r="H20" s="70">
        <v>0.128260142609287</v>
      </c>
      <c r="I20" s="70">
        <v>0.289467383482647</v>
      </c>
      <c r="J20" s="70">
        <v>392.16498530377402</v>
      </c>
    </row>
    <row r="21" spans="1:28" s="2" customFormat="1" x14ac:dyDescent="0.2">
      <c r="A21" s="70" t="s">
        <v>23</v>
      </c>
      <c r="B21" s="70" t="s">
        <v>24</v>
      </c>
      <c r="C21" s="70" t="s">
        <v>15</v>
      </c>
      <c r="D21" s="70">
        <v>-7.0396944902985301E-2</v>
      </c>
      <c r="E21" s="70">
        <v>-0.57442607392886502</v>
      </c>
      <c r="F21" s="70">
        <v>-7.0396944902985301E-2</v>
      </c>
      <c r="G21" s="70">
        <v>0.433632184122894</v>
      </c>
      <c r="H21" s="70">
        <v>-7.0396944902985301E-2</v>
      </c>
      <c r="I21" s="70">
        <v>0.25716244431101698</v>
      </c>
      <c r="J21" s="70">
        <v>392.16498530377402</v>
      </c>
      <c r="K21" s="2" t="s">
        <v>56</v>
      </c>
    </row>
    <row r="22" spans="1:28" x14ac:dyDescent="0.2">
      <c r="A22" s="32" t="s">
        <v>25</v>
      </c>
      <c r="B22" s="32" t="s">
        <v>26</v>
      </c>
      <c r="C22" s="32" t="s">
        <v>25</v>
      </c>
      <c r="D22" s="32">
        <v>-0.86786086069242596</v>
      </c>
      <c r="E22" s="32">
        <v>-2.1473780117516799</v>
      </c>
      <c r="F22" s="32">
        <v>-0.91901783985845098</v>
      </c>
      <c r="G22" s="32">
        <v>0.114731061079621</v>
      </c>
      <c r="H22" s="32">
        <v>-0.12415225601341701</v>
      </c>
      <c r="I22" s="32">
        <v>0.65433038797185605</v>
      </c>
      <c r="J22" s="32">
        <v>223.45066353674699</v>
      </c>
    </row>
    <row r="23" spans="1:28" x14ac:dyDescent="0.2">
      <c r="A23" s="32" t="s">
        <v>25</v>
      </c>
      <c r="B23" s="32" t="s">
        <v>26</v>
      </c>
      <c r="C23" s="32" t="s">
        <v>27</v>
      </c>
      <c r="D23" s="32">
        <v>0.72109211518281702</v>
      </c>
      <c r="E23" s="32">
        <v>0.38598580803989002</v>
      </c>
      <c r="F23" s="32">
        <v>0.74255545199539696</v>
      </c>
      <c r="G23" s="32">
        <v>0.953530701145195</v>
      </c>
      <c r="H23" s="32">
        <v>0.82432340843187701</v>
      </c>
      <c r="I23" s="32">
        <v>0.15334588922519199</v>
      </c>
      <c r="J23" s="32">
        <v>223.45066353674699</v>
      </c>
    </row>
    <row r="24" spans="1:28" x14ac:dyDescent="0.2">
      <c r="A24" s="32" t="s">
        <v>25</v>
      </c>
      <c r="B24" s="32" t="s">
        <v>26</v>
      </c>
      <c r="C24" s="32" t="s">
        <v>19</v>
      </c>
      <c r="D24" s="32">
        <v>337.804509291508</v>
      </c>
      <c r="E24" s="32">
        <v>130.408842155023</v>
      </c>
      <c r="F24" s="32">
        <v>310.21025140577501</v>
      </c>
      <c r="G24" s="32">
        <v>705.29176501820803</v>
      </c>
      <c r="H24" s="32">
        <v>260.50185755793598</v>
      </c>
      <c r="I24" s="32">
        <v>149.16639783956899</v>
      </c>
      <c r="J24" s="32">
        <v>223.45066353674699</v>
      </c>
    </row>
    <row r="25" spans="1:28" x14ac:dyDescent="0.2">
      <c r="A25" s="32" t="s">
        <v>25</v>
      </c>
      <c r="B25" s="32" t="s">
        <v>26</v>
      </c>
      <c r="C25" s="32" t="s">
        <v>20</v>
      </c>
      <c r="D25" s="32">
        <v>3.1465657651735799</v>
      </c>
      <c r="E25" s="32">
        <v>1.5247157467529999</v>
      </c>
      <c r="F25" s="32">
        <v>3.0094423318816999</v>
      </c>
      <c r="G25" s="32">
        <v>5.5489271447644697</v>
      </c>
      <c r="H25" s="32">
        <v>2.7603847095582301</v>
      </c>
      <c r="I25" s="32">
        <v>1.0342021118685201</v>
      </c>
      <c r="J25" s="32">
        <v>223.45066353674699</v>
      </c>
    </row>
    <row r="26" spans="1:28" s="6" customFormat="1" x14ac:dyDescent="0.2">
      <c r="A26" s="71" t="s">
        <v>28</v>
      </c>
      <c r="B26" s="71" t="s">
        <v>29</v>
      </c>
      <c r="C26" s="71" t="s">
        <v>30</v>
      </c>
      <c r="D26" s="71">
        <v>-0.35895579086729001</v>
      </c>
      <c r="E26" s="71">
        <v>-0.67912225653007796</v>
      </c>
      <c r="F26" s="71">
        <v>-0.358277337092963</v>
      </c>
      <c r="G26" s="71">
        <v>-4.2682055166595498E-2</v>
      </c>
      <c r="H26" s="71">
        <v>-0.358283713342121</v>
      </c>
      <c r="I26" s="71">
        <v>0.16223101679291199</v>
      </c>
      <c r="J26" s="71">
        <v>339.01173945267999</v>
      </c>
      <c r="K26" s="6" t="s">
        <v>57</v>
      </c>
    </row>
    <row r="27" spans="1:28" x14ac:dyDescent="0.2">
      <c r="A27" s="32" t="s">
        <v>28</v>
      </c>
      <c r="B27" s="32" t="s">
        <v>29</v>
      </c>
      <c r="C27" s="32" t="s">
        <v>28</v>
      </c>
      <c r="D27" s="32">
        <v>0.92311742130971297</v>
      </c>
      <c r="E27" s="32">
        <v>0.88902449111804804</v>
      </c>
      <c r="F27" s="32">
        <v>0.92419922916456299</v>
      </c>
      <c r="G27" s="32">
        <v>0.95096219448816299</v>
      </c>
      <c r="H27" s="32">
        <v>0.92636900667533895</v>
      </c>
      <c r="I27" s="32">
        <v>1.58594995890265E-2</v>
      </c>
      <c r="J27" s="32">
        <v>339.01173945267999</v>
      </c>
    </row>
    <row r="28" spans="1:28" s="7" customFormat="1" x14ac:dyDescent="0.2">
      <c r="A28" s="72" t="s">
        <v>31</v>
      </c>
      <c r="B28" s="72" t="s">
        <v>32</v>
      </c>
      <c r="C28" s="72" t="s">
        <v>33</v>
      </c>
      <c r="D28" s="72">
        <v>-0.95992959679204304</v>
      </c>
      <c r="E28" s="72">
        <v>-1.6038555668485199</v>
      </c>
      <c r="F28" s="72">
        <v>-0.95934027661659305</v>
      </c>
      <c r="G28" s="72">
        <v>-0.31938009373101001</v>
      </c>
      <c r="H28" s="72">
        <v>-0.95934413044534295</v>
      </c>
      <c r="I28" s="72">
        <v>0.32746991604070103</v>
      </c>
      <c r="J28" s="72">
        <v>312.70098542403099</v>
      </c>
      <c r="K28" s="7" t="s">
        <v>57</v>
      </c>
    </row>
    <row r="29" spans="1:28" x14ac:dyDescent="0.2">
      <c r="A29" s="32" t="s">
        <v>31</v>
      </c>
      <c r="B29" s="32" t="s">
        <v>32</v>
      </c>
      <c r="C29" s="32" t="s">
        <v>31</v>
      </c>
      <c r="D29" s="32">
        <v>0.92504518696885796</v>
      </c>
      <c r="E29" s="32">
        <v>0.89251110131845401</v>
      </c>
      <c r="F29" s="32">
        <v>0.92601994785920505</v>
      </c>
      <c r="G29" s="32">
        <v>0.95193440539293706</v>
      </c>
      <c r="H29" s="32">
        <v>0.92799597778273901</v>
      </c>
      <c r="I29" s="32">
        <v>1.5216234938429401E-2</v>
      </c>
      <c r="J29" s="32">
        <v>312.70098542403099</v>
      </c>
    </row>
    <row r="30" spans="1:28" s="8" customFormat="1" x14ac:dyDescent="0.2">
      <c r="A30" s="73" t="s">
        <v>34</v>
      </c>
      <c r="B30" s="73" t="s">
        <v>35</v>
      </c>
      <c r="C30" s="73" t="s">
        <v>36</v>
      </c>
      <c r="D30" s="73">
        <v>-0.783324707577987</v>
      </c>
      <c r="E30" s="73">
        <v>-1.4309483251716599</v>
      </c>
      <c r="F30" s="73">
        <v>-0.78329386624606201</v>
      </c>
      <c r="G30" s="73">
        <v>-0.135876769671961</v>
      </c>
      <c r="H30" s="73">
        <v>-0.78329373563740201</v>
      </c>
      <c r="I30" s="73">
        <v>0.33022179931604401</v>
      </c>
      <c r="J30" s="73">
        <v>313.098889673249</v>
      </c>
      <c r="K30" s="8" t="s">
        <v>57</v>
      </c>
    </row>
    <row r="31" spans="1:28" x14ac:dyDescent="0.2">
      <c r="A31" s="32" t="s">
        <v>34</v>
      </c>
      <c r="B31" s="32" t="s">
        <v>35</v>
      </c>
      <c r="C31" s="32" t="s">
        <v>34</v>
      </c>
      <c r="D31" s="32">
        <v>0.92627779754432704</v>
      </c>
      <c r="E31" s="32">
        <v>0.89457949408692405</v>
      </c>
      <c r="F31" s="32">
        <v>0.92720489168239495</v>
      </c>
      <c r="G31" s="32">
        <v>0.952601213781476</v>
      </c>
      <c r="H31" s="32">
        <v>0.92908968250784096</v>
      </c>
      <c r="I31" s="32">
        <v>1.48571132508717E-2</v>
      </c>
      <c r="J31" s="32">
        <v>313.098889673249</v>
      </c>
    </row>
    <row r="32" spans="1:28" x14ac:dyDescent="0.2">
      <c r="A32" s="32" t="s">
        <v>37</v>
      </c>
      <c r="B32" s="32" t="s">
        <v>187</v>
      </c>
      <c r="C32" s="32" t="s">
        <v>38</v>
      </c>
      <c r="D32" s="32">
        <v>0.151198292477632</v>
      </c>
      <c r="E32" s="32">
        <v>6.6448484346715395E-2</v>
      </c>
      <c r="F32" s="32">
        <v>0.151198292477632</v>
      </c>
      <c r="G32" s="32">
        <v>0.23594810060854801</v>
      </c>
      <c r="H32" s="32">
        <v>0.151198292477632</v>
      </c>
      <c r="I32" s="32">
        <v>4.3240492580176003E-2</v>
      </c>
      <c r="J32" s="32">
        <v>271.174076321347</v>
      </c>
      <c r="K32" s="3"/>
      <c r="L32" s="47" t="s">
        <v>179</v>
      </c>
      <c r="M32" s="3"/>
      <c r="N32" s="3"/>
      <c r="O32" s="3"/>
      <c r="P32" s="3"/>
      <c r="Q32" s="3"/>
      <c r="R32" s="3"/>
      <c r="S32" s="3"/>
      <c r="T32" s="3"/>
      <c r="U32" s="3"/>
      <c r="V32" s="3"/>
      <c r="W32" s="3"/>
      <c r="X32" s="3"/>
      <c r="Y32" s="3"/>
      <c r="Z32" s="3"/>
      <c r="AA32" s="3"/>
      <c r="AB32" s="3"/>
    </row>
    <row r="33" spans="1:28" x14ac:dyDescent="0.2">
      <c r="A33" s="32" t="s">
        <v>37</v>
      </c>
      <c r="B33" s="32" t="s">
        <v>187</v>
      </c>
      <c r="C33" s="32" t="s">
        <v>39</v>
      </c>
      <c r="D33" s="32">
        <v>1.72165579294337</v>
      </c>
      <c r="E33" s="32">
        <v>0.88537080587396799</v>
      </c>
      <c r="F33" s="32">
        <v>1.72165579294337</v>
      </c>
      <c r="G33" s="32">
        <v>2.5579407800127698</v>
      </c>
      <c r="H33" s="32">
        <v>1.72165579294337</v>
      </c>
      <c r="I33" s="32">
        <v>0.42668385422687</v>
      </c>
      <c r="J33" s="32">
        <v>271.174076321347</v>
      </c>
      <c r="K33" s="3"/>
      <c r="L33" s="47" t="s">
        <v>180</v>
      </c>
      <c r="M33" s="3" t="str">
        <f t="shared" ref="M33:M48" si="2">C32</f>
        <v>Age</v>
      </c>
      <c r="N33" s="3">
        <f t="shared" ref="N33:N48" si="3">G32-E32</f>
        <v>0.16949961626183263</v>
      </c>
      <c r="O33" s="3"/>
      <c r="P33" s="3"/>
      <c r="Q33" s="3"/>
      <c r="R33" s="3"/>
      <c r="S33" s="3"/>
      <c r="T33" s="3"/>
      <c r="U33" s="3"/>
      <c r="V33" s="3"/>
      <c r="W33" s="3"/>
      <c r="X33" s="3"/>
      <c r="Y33" s="3"/>
      <c r="Z33" s="3"/>
      <c r="AA33" s="3"/>
      <c r="AB33" s="3"/>
    </row>
    <row r="34" spans="1:28" x14ac:dyDescent="0.2">
      <c r="A34" s="32" t="s">
        <v>37</v>
      </c>
      <c r="B34" s="32" t="s">
        <v>187</v>
      </c>
      <c r="C34" s="32" t="s">
        <v>12</v>
      </c>
      <c r="D34" s="32">
        <v>0.17005409889298101</v>
      </c>
      <c r="E34" s="32">
        <v>-0.228028407693462</v>
      </c>
      <c r="F34" s="32">
        <v>0.17005409889298101</v>
      </c>
      <c r="G34" s="32">
        <v>0.56813660547942402</v>
      </c>
      <c r="H34" s="32">
        <v>0.17005409889298101</v>
      </c>
      <c r="I34" s="32">
        <v>0.203107051826701</v>
      </c>
      <c r="J34" s="32">
        <v>271.174076321347</v>
      </c>
      <c r="K34" s="3"/>
      <c r="L34" s="3"/>
      <c r="M34" s="3" t="str">
        <f t="shared" si="2"/>
        <v>Mother's serostatus</v>
      </c>
      <c r="N34" s="3">
        <f t="shared" si="3"/>
        <v>1.6725699741388018</v>
      </c>
      <c r="O34" s="3"/>
      <c r="P34" s="3"/>
      <c r="Q34" s="3"/>
      <c r="R34" s="3"/>
      <c r="S34" s="3"/>
      <c r="T34" s="3"/>
      <c r="U34" s="3"/>
      <c r="V34" s="3"/>
      <c r="W34" s="3"/>
      <c r="X34" s="3"/>
      <c r="Y34" s="3"/>
      <c r="Z34" s="3"/>
      <c r="AA34" s="3"/>
      <c r="AB34" s="3"/>
    </row>
    <row r="35" spans="1:28" x14ac:dyDescent="0.2">
      <c r="A35" s="32" t="s">
        <v>37</v>
      </c>
      <c r="B35" s="32" t="s">
        <v>187</v>
      </c>
      <c r="C35" s="32" t="s">
        <v>13</v>
      </c>
      <c r="D35" s="32">
        <v>-0.62094667433128703</v>
      </c>
      <c r="E35" s="32">
        <v>-1.1626898728563599</v>
      </c>
      <c r="F35" s="32">
        <v>-0.62094667433128703</v>
      </c>
      <c r="G35" s="32">
        <v>-7.9203475806215298E-2</v>
      </c>
      <c r="H35" s="32">
        <v>-0.62094667433128703</v>
      </c>
      <c r="I35" s="32">
        <v>0.276404670084896</v>
      </c>
      <c r="J35" s="32">
        <v>271.174076321347</v>
      </c>
      <c r="K35" s="3"/>
      <c r="L35" s="3"/>
      <c r="M35" s="3" t="str">
        <f t="shared" si="2"/>
        <v>Social vulnerability</v>
      </c>
      <c r="N35" s="3">
        <f t="shared" si="3"/>
        <v>0.79616501317288602</v>
      </c>
      <c r="O35" s="3"/>
      <c r="P35" s="3"/>
      <c r="Q35" s="3"/>
      <c r="R35" s="3"/>
      <c r="S35" s="3"/>
      <c r="T35" s="3"/>
      <c r="U35" s="3"/>
      <c r="V35" s="3"/>
      <c r="W35" s="3"/>
      <c r="X35" s="3"/>
      <c r="Y35" s="3"/>
      <c r="Z35" s="3"/>
      <c r="AA35" s="3"/>
      <c r="AB35" s="3"/>
    </row>
    <row r="36" spans="1:28" x14ac:dyDescent="0.2">
      <c r="A36" s="32" t="s">
        <v>37</v>
      </c>
      <c r="B36" s="32" t="s">
        <v>187</v>
      </c>
      <c r="C36" s="32" t="s">
        <v>40</v>
      </c>
      <c r="D36" s="32">
        <v>0.440424931951924</v>
      </c>
      <c r="E36" s="32">
        <v>0.19163732610989101</v>
      </c>
      <c r="F36" s="32">
        <v>0.440424931951924</v>
      </c>
      <c r="G36" s="32">
        <v>0.68921253779395697</v>
      </c>
      <c r="H36" s="32">
        <v>0.440424931951924</v>
      </c>
      <c r="I36" s="32">
        <v>0.126934784416672</v>
      </c>
      <c r="J36" s="32">
        <v>271.174076321347</v>
      </c>
      <c r="K36" s="3"/>
      <c r="L36" s="3"/>
      <c r="M36" s="3" t="str">
        <f t="shared" si="2"/>
        <v>Host availability</v>
      </c>
      <c r="N36" s="3">
        <f t="shared" si="3"/>
        <v>1.0834863970501447</v>
      </c>
      <c r="O36" s="3"/>
      <c r="P36" s="3"/>
      <c r="Q36" s="3"/>
      <c r="R36" s="3"/>
      <c r="S36" s="3"/>
      <c r="T36" s="3"/>
      <c r="U36" s="3"/>
      <c r="V36" s="3"/>
      <c r="W36" s="3"/>
      <c r="X36" s="3"/>
      <c r="Y36" s="3"/>
      <c r="Z36" s="3"/>
      <c r="AA36" s="3"/>
      <c r="AB36" s="3"/>
    </row>
    <row r="37" spans="1:28" x14ac:dyDescent="0.2">
      <c r="A37" s="32" t="s">
        <v>37</v>
      </c>
      <c r="B37" s="32" t="s">
        <v>187</v>
      </c>
      <c r="C37" s="32" t="s">
        <v>14</v>
      </c>
      <c r="D37" s="32">
        <v>-1.65607240959381</v>
      </c>
      <c r="E37" s="32">
        <v>-2.9859966622431902</v>
      </c>
      <c r="F37" s="32">
        <v>-1.65607240959381</v>
      </c>
      <c r="G37" s="32">
        <v>-0.32614815694442201</v>
      </c>
      <c r="H37" s="32">
        <v>-1.65607240959381</v>
      </c>
      <c r="I37" s="32">
        <v>0.67854525039217894</v>
      </c>
      <c r="J37" s="32">
        <v>271.174076321347</v>
      </c>
      <c r="K37" s="3"/>
      <c r="L37" s="3"/>
      <c r="M37" s="3" t="str">
        <f t="shared" si="2"/>
        <v>Infected vector abundance</v>
      </c>
      <c r="N37" s="3">
        <f t="shared" si="3"/>
        <v>0.49757521168406593</v>
      </c>
      <c r="O37" s="3"/>
      <c r="P37" s="3"/>
      <c r="Q37" s="3"/>
      <c r="R37" s="3"/>
      <c r="S37" s="3"/>
      <c r="T37" s="3"/>
      <c r="U37" s="3"/>
      <c r="V37" s="3"/>
      <c r="W37" s="3"/>
      <c r="X37" s="3"/>
      <c r="Y37" s="3"/>
      <c r="Z37" s="3"/>
      <c r="AA37" s="3"/>
      <c r="AB37" s="3"/>
    </row>
    <row r="38" spans="1:28" x14ac:dyDescent="0.2">
      <c r="A38" s="32" t="s">
        <v>37</v>
      </c>
      <c r="B38" s="32" t="s">
        <v>187</v>
      </c>
      <c r="C38" s="32" t="s">
        <v>30</v>
      </c>
      <c r="D38" s="32">
        <v>-0.17404702956652901</v>
      </c>
      <c r="E38" s="32">
        <v>-0.65525287468377802</v>
      </c>
      <c r="F38" s="32">
        <v>-0.17404702956652901</v>
      </c>
      <c r="G38" s="32">
        <v>0.30715881555072</v>
      </c>
      <c r="H38" s="32">
        <v>-0.17404702956652901</v>
      </c>
      <c r="I38" s="32">
        <v>0.24551769772962101</v>
      </c>
      <c r="J38" s="32">
        <v>271.174076321347</v>
      </c>
      <c r="K38" s="3"/>
      <c r="L38" s="3"/>
      <c r="M38" s="3" t="str">
        <f t="shared" si="2"/>
        <v>Mobility</v>
      </c>
      <c r="N38" s="3">
        <f t="shared" si="3"/>
        <v>2.6598485052987684</v>
      </c>
      <c r="O38" s="3"/>
      <c r="P38" s="3"/>
      <c r="Q38" s="3"/>
      <c r="R38" s="3"/>
      <c r="S38" s="3"/>
      <c r="T38" s="3"/>
      <c r="U38" s="3"/>
      <c r="V38" s="3"/>
      <c r="W38" s="3"/>
      <c r="X38" s="3"/>
      <c r="Y38" s="3"/>
      <c r="Z38" s="3"/>
      <c r="AA38" s="3"/>
      <c r="AB38" s="3"/>
    </row>
    <row r="39" spans="1:28" x14ac:dyDescent="0.2">
      <c r="A39" s="32" t="s">
        <v>37</v>
      </c>
      <c r="B39" s="32" t="s">
        <v>187</v>
      </c>
      <c r="C39" s="32" t="s">
        <v>41</v>
      </c>
      <c r="D39" s="32">
        <v>1.05986821017622</v>
      </c>
      <c r="E39" s="32">
        <v>0.39996624661980701</v>
      </c>
      <c r="F39" s="32">
        <v>1.05986821017622</v>
      </c>
      <c r="G39" s="32">
        <v>1.7197701737326201</v>
      </c>
      <c r="H39" s="32">
        <v>1.05986821017622</v>
      </c>
      <c r="I39" s="32">
        <v>0.336690862057482</v>
      </c>
      <c r="J39" s="32">
        <v>271.174076321347</v>
      </c>
      <c r="K39" s="3"/>
      <c r="L39" s="3"/>
      <c r="M39" s="3" t="str">
        <f t="shared" si="2"/>
        <v>Degree</v>
      </c>
      <c r="N39" s="3">
        <f t="shared" si="3"/>
        <v>0.96241169023449802</v>
      </c>
      <c r="O39" s="3"/>
      <c r="P39" s="3"/>
      <c r="Q39" s="3"/>
      <c r="R39" s="3"/>
      <c r="S39" s="47"/>
      <c r="T39" s="3"/>
      <c r="U39" s="3"/>
      <c r="V39" s="3"/>
      <c r="W39" s="129"/>
      <c r="X39" s="3"/>
      <c r="Y39" s="47"/>
      <c r="Z39" s="3"/>
      <c r="AA39" s="3"/>
      <c r="AB39" s="3"/>
    </row>
    <row r="40" spans="1:28" x14ac:dyDescent="0.2">
      <c r="A40" s="74" t="s">
        <v>42</v>
      </c>
      <c r="B40" s="74" t="s">
        <v>188</v>
      </c>
      <c r="C40" s="74" t="s">
        <v>38</v>
      </c>
      <c r="D40" s="74">
        <v>0.174193103965461</v>
      </c>
      <c r="E40" s="74">
        <v>8.0298588978184204E-2</v>
      </c>
      <c r="F40" s="74">
        <v>0.17317762783073801</v>
      </c>
      <c r="G40" s="74">
        <v>0.27394774152562601</v>
      </c>
      <c r="H40" s="74">
        <v>0.17319953773768501</v>
      </c>
      <c r="I40" s="74">
        <v>4.9283338420550798E-2</v>
      </c>
      <c r="J40" s="74">
        <v>262.47563510341502</v>
      </c>
      <c r="K40" s="3"/>
      <c r="L40" s="3"/>
      <c r="M40" s="3" t="str">
        <f t="shared" si="2"/>
        <v>mover:degree</v>
      </c>
      <c r="N40" s="3">
        <f t="shared" si="3"/>
        <v>1.319803927112813</v>
      </c>
      <c r="O40" s="130"/>
      <c r="P40" s="130"/>
      <c r="Q40" s="131"/>
      <c r="R40" s="3"/>
      <c r="S40" s="47"/>
      <c r="T40" s="3"/>
      <c r="U40" s="130"/>
      <c r="V40" s="130"/>
      <c r="W40" s="131"/>
      <c r="X40" s="3"/>
      <c r="Y40" s="3"/>
      <c r="Z40" s="129"/>
      <c r="AA40" s="129"/>
      <c r="AB40" s="3"/>
    </row>
    <row r="41" spans="1:28" x14ac:dyDescent="0.2">
      <c r="A41" s="74" t="s">
        <v>42</v>
      </c>
      <c r="B41" s="74" t="s">
        <v>188</v>
      </c>
      <c r="C41" s="74" t="s">
        <v>39</v>
      </c>
      <c r="D41" s="74">
        <v>1.6949231918661201</v>
      </c>
      <c r="E41" s="74">
        <v>0.78464177145751202</v>
      </c>
      <c r="F41" s="74">
        <v>1.6943443843506301</v>
      </c>
      <c r="G41" s="74">
        <v>2.6089019483531302</v>
      </c>
      <c r="H41" s="74">
        <v>1.69449493150965</v>
      </c>
      <c r="I41" s="74">
        <v>0.46444210041316902</v>
      </c>
      <c r="J41" s="74">
        <v>262.47563510341502</v>
      </c>
      <c r="K41" s="3"/>
      <c r="L41" s="47" t="s">
        <v>181</v>
      </c>
      <c r="M41" s="3" t="str">
        <f t="shared" si="2"/>
        <v>Age</v>
      </c>
      <c r="N41" s="3">
        <f t="shared" si="3"/>
        <v>0.19364915254744181</v>
      </c>
      <c r="O41" s="3"/>
      <c r="P41" s="3"/>
      <c r="Q41" s="129"/>
      <c r="R41" s="3"/>
      <c r="S41" s="3"/>
      <c r="T41" s="3"/>
      <c r="U41" s="3"/>
      <c r="V41" s="3"/>
      <c r="W41" s="3"/>
      <c r="X41" s="3"/>
      <c r="Y41" s="3"/>
      <c r="Z41" s="129"/>
      <c r="AA41" s="129"/>
      <c r="AB41" s="3"/>
    </row>
    <row r="42" spans="1:28" x14ac:dyDescent="0.2">
      <c r="A42" s="74" t="s">
        <v>42</v>
      </c>
      <c r="B42" s="74" t="s">
        <v>188</v>
      </c>
      <c r="C42" s="74" t="s">
        <v>12</v>
      </c>
      <c r="D42" s="74">
        <v>0.15861223714241801</v>
      </c>
      <c r="E42" s="74">
        <v>-0.29133168260562498</v>
      </c>
      <c r="F42" s="74">
        <v>0.158109110098336</v>
      </c>
      <c r="G42" s="74">
        <v>0.61171322552005003</v>
      </c>
      <c r="H42" s="74">
        <v>0.15820469426173001</v>
      </c>
      <c r="I42" s="74">
        <v>0.22959669229833601</v>
      </c>
      <c r="J42" s="74">
        <v>262.47563510341502</v>
      </c>
      <c r="K42" s="3"/>
      <c r="L42" s="3"/>
      <c r="M42" s="3" t="str">
        <f t="shared" si="2"/>
        <v>Mother's serostatus</v>
      </c>
      <c r="N42" s="3">
        <f t="shared" si="3"/>
        <v>1.8242601768956181</v>
      </c>
      <c r="O42" s="3"/>
      <c r="P42" s="3"/>
      <c r="Q42" s="129"/>
      <c r="R42" s="3"/>
      <c r="S42" s="3"/>
      <c r="T42" s="3"/>
      <c r="U42" s="3"/>
      <c r="V42" s="3"/>
      <c r="W42" s="132"/>
      <c r="X42" s="3"/>
      <c r="Y42" s="3"/>
      <c r="Z42" s="129"/>
      <c r="AA42" s="129"/>
      <c r="AB42" s="3"/>
    </row>
    <row r="43" spans="1:28" x14ac:dyDescent="0.2">
      <c r="A43" s="74" t="s">
        <v>42</v>
      </c>
      <c r="B43" s="74" t="s">
        <v>188</v>
      </c>
      <c r="C43" s="74" t="s">
        <v>13</v>
      </c>
      <c r="D43" s="74">
        <v>-0.62638079589590301</v>
      </c>
      <c r="E43" s="74">
        <v>-1.25996509686147</v>
      </c>
      <c r="F43" s="74">
        <v>-0.627324105990406</v>
      </c>
      <c r="G43" s="74">
        <v>1.3101841330726101E-2</v>
      </c>
      <c r="H43" s="74">
        <v>-0.62714897889914201</v>
      </c>
      <c r="I43" s="74">
        <v>0.323189279120697</v>
      </c>
      <c r="J43" s="74">
        <v>262.47563510341502</v>
      </c>
      <c r="K43" s="3"/>
      <c r="L43" s="47"/>
      <c r="M43" s="3" t="str">
        <f t="shared" si="2"/>
        <v>Social vulnerability</v>
      </c>
      <c r="N43" s="3">
        <f t="shared" si="3"/>
        <v>0.90304490812567506</v>
      </c>
      <c r="O43" s="3"/>
      <c r="P43" s="3"/>
      <c r="Q43" s="129"/>
      <c r="R43" s="3"/>
      <c r="S43" s="3"/>
      <c r="T43" s="3"/>
      <c r="U43" s="3"/>
      <c r="V43" s="3"/>
      <c r="W43" s="132"/>
      <c r="X43" s="3"/>
      <c r="Y43" s="3"/>
      <c r="Z43" s="129"/>
      <c r="AA43" s="129"/>
      <c r="AB43" s="3"/>
    </row>
    <row r="44" spans="1:28" x14ac:dyDescent="0.2">
      <c r="A44" s="74" t="s">
        <v>42</v>
      </c>
      <c r="B44" s="74" t="s">
        <v>188</v>
      </c>
      <c r="C44" s="74" t="s">
        <v>40</v>
      </c>
      <c r="D44" s="74">
        <v>0.420099621293752</v>
      </c>
      <c r="E44" s="74">
        <v>0.19585814927741399</v>
      </c>
      <c r="F44" s="74">
        <v>0.41931045100458098</v>
      </c>
      <c r="G44" s="74">
        <v>0.64880237621534498</v>
      </c>
      <c r="H44" s="74">
        <v>0.419301992668626</v>
      </c>
      <c r="I44" s="74">
        <v>0.11532011202836299</v>
      </c>
      <c r="J44" s="74">
        <v>262.47563510341502</v>
      </c>
      <c r="K44" s="3"/>
      <c r="L44" s="47"/>
      <c r="M44" s="3" t="str">
        <f t="shared" si="2"/>
        <v>Host availability</v>
      </c>
      <c r="N44" s="3">
        <f t="shared" si="3"/>
        <v>1.273066938192196</v>
      </c>
      <c r="O44" s="3"/>
      <c r="P44" s="3"/>
      <c r="Q44" s="129"/>
      <c r="R44" s="3"/>
      <c r="S44" s="3"/>
      <c r="T44" s="3"/>
      <c r="U44" s="3"/>
      <c r="V44" s="3"/>
      <c r="W44" s="132"/>
      <c r="X44" s="3"/>
      <c r="Y44" s="3"/>
      <c r="Z44" s="3"/>
      <c r="AA44" s="3"/>
      <c r="AB44" s="3"/>
    </row>
    <row r="45" spans="1:28" x14ac:dyDescent="0.2">
      <c r="A45" s="74" t="s">
        <v>42</v>
      </c>
      <c r="B45" s="74" t="s">
        <v>188</v>
      </c>
      <c r="C45" s="74" t="s">
        <v>14</v>
      </c>
      <c r="D45" s="74">
        <v>-1.7441118148381001</v>
      </c>
      <c r="E45" s="74">
        <v>-3.17232173776932</v>
      </c>
      <c r="F45" s="74">
        <v>-1.7395703972860199</v>
      </c>
      <c r="G45" s="74">
        <v>-0.34241318328328801</v>
      </c>
      <c r="H45" s="74">
        <v>-1.7397684822958299</v>
      </c>
      <c r="I45" s="74">
        <v>0.72087711522486497</v>
      </c>
      <c r="J45" s="74">
        <v>262.47563510341502</v>
      </c>
      <c r="K45" s="3"/>
      <c r="L45" s="47"/>
      <c r="M45" s="3" t="str">
        <f t="shared" si="2"/>
        <v>Infected vector abundance</v>
      </c>
      <c r="N45" s="3">
        <f t="shared" si="3"/>
        <v>0.45294422693793102</v>
      </c>
      <c r="O45" s="3"/>
      <c r="P45" s="3"/>
      <c r="Q45" s="129"/>
      <c r="R45" s="3"/>
      <c r="S45" s="3"/>
      <c r="T45" s="3"/>
      <c r="U45" s="3"/>
      <c r="V45" s="3"/>
      <c r="W45" s="3"/>
      <c r="X45" s="3"/>
      <c r="Y45" s="3"/>
      <c r="Z45" s="3"/>
      <c r="AA45" s="3"/>
      <c r="AB45" s="3"/>
    </row>
    <row r="46" spans="1:28" x14ac:dyDescent="0.2">
      <c r="A46" s="74" t="s">
        <v>42</v>
      </c>
      <c r="B46" s="74" t="s">
        <v>188</v>
      </c>
      <c r="C46" s="74" t="s">
        <v>30</v>
      </c>
      <c r="D46" s="74">
        <v>-0.17567930735722101</v>
      </c>
      <c r="E46" s="74">
        <v>-0.69732606543619502</v>
      </c>
      <c r="F46" s="74">
        <v>-0.174866208841196</v>
      </c>
      <c r="G46" s="74">
        <v>0.34115986756252697</v>
      </c>
      <c r="H46" s="74">
        <v>-0.174921407614896</v>
      </c>
      <c r="I46" s="74">
        <v>0.26445444424668602</v>
      </c>
      <c r="J46" s="74">
        <v>262.47563510341502</v>
      </c>
      <c r="K46" s="3"/>
      <c r="L46" s="47"/>
      <c r="M46" s="3" t="str">
        <f t="shared" si="2"/>
        <v>Mobility</v>
      </c>
      <c r="N46" s="3">
        <f t="shared" si="3"/>
        <v>2.8299085544860318</v>
      </c>
      <c r="O46" s="3"/>
      <c r="P46" s="3"/>
      <c r="Q46" s="3"/>
      <c r="R46" s="3"/>
      <c r="S46" s="3"/>
      <c r="T46" s="3"/>
      <c r="U46" s="3"/>
      <c r="V46" s="3"/>
      <c r="W46" s="3"/>
      <c r="X46" s="3"/>
      <c r="Y46" s="3"/>
      <c r="Z46" s="129"/>
      <c r="AA46" s="129"/>
      <c r="AB46" s="3"/>
    </row>
    <row r="47" spans="1:28" x14ac:dyDescent="0.2">
      <c r="A47" s="74" t="s">
        <v>42</v>
      </c>
      <c r="B47" s="74" t="s">
        <v>188</v>
      </c>
      <c r="C47" s="74" t="s">
        <v>41</v>
      </c>
      <c r="D47" s="74">
        <v>1.05864622756607</v>
      </c>
      <c r="E47" s="74">
        <v>0.35501780782284098</v>
      </c>
      <c r="F47" s="74">
        <v>1.05711038332686</v>
      </c>
      <c r="G47" s="74">
        <v>1.77133768626037</v>
      </c>
      <c r="H47" s="74">
        <v>1.0572069451299999</v>
      </c>
      <c r="I47" s="74">
        <v>0.36076743890079599</v>
      </c>
      <c r="J47" s="74">
        <v>262.47563510341502</v>
      </c>
      <c r="K47" s="3"/>
      <c r="L47" s="47" t="s">
        <v>146</v>
      </c>
      <c r="M47" s="3" t="str">
        <f t="shared" si="2"/>
        <v>Degree</v>
      </c>
      <c r="N47" s="3">
        <f t="shared" si="3"/>
        <v>1.0384859329987219</v>
      </c>
      <c r="O47" s="3"/>
      <c r="P47" s="3"/>
      <c r="Q47" s="3"/>
      <c r="R47" s="3"/>
      <c r="S47" s="47"/>
      <c r="T47" s="3"/>
      <c r="U47" s="3"/>
      <c r="V47" s="3"/>
      <c r="W47" s="3"/>
      <c r="X47" s="3"/>
      <c r="Y47" s="47"/>
      <c r="Z47" s="3"/>
      <c r="AA47" s="3"/>
      <c r="AB47" s="3"/>
    </row>
    <row r="48" spans="1:28" x14ac:dyDescent="0.2">
      <c r="A48" s="74" t="s">
        <v>42</v>
      </c>
      <c r="B48" s="74" t="s">
        <v>188</v>
      </c>
      <c r="C48" s="74" t="s">
        <v>19</v>
      </c>
      <c r="D48" s="74">
        <v>307.79019578659597</v>
      </c>
      <c r="E48" s="74">
        <v>82.7267547330013</v>
      </c>
      <c r="F48" s="74">
        <v>254.743136226106</v>
      </c>
      <c r="G48" s="74">
        <v>851.650693552093</v>
      </c>
      <c r="H48" s="74">
        <v>178.362741198642</v>
      </c>
      <c r="I48" s="74">
        <v>206.065360922591</v>
      </c>
      <c r="J48" s="74">
        <v>262.47563510341502</v>
      </c>
      <c r="K48" s="3"/>
      <c r="L48" s="47" t="s">
        <v>146</v>
      </c>
      <c r="M48" s="3" t="str">
        <f t="shared" si="2"/>
        <v>mover:degree</v>
      </c>
      <c r="N48" s="3">
        <f t="shared" si="3"/>
        <v>1.416319878437529</v>
      </c>
      <c r="O48" s="130"/>
      <c r="P48" s="130"/>
      <c r="Q48" s="131"/>
      <c r="R48" s="3"/>
      <c r="S48" s="47"/>
      <c r="T48" s="3"/>
      <c r="U48" s="130"/>
      <c r="V48" s="130"/>
      <c r="W48" s="131"/>
      <c r="X48" s="3"/>
      <c r="Y48" s="3"/>
      <c r="Z48" s="129"/>
      <c r="AA48" s="129"/>
      <c r="AB48" s="3"/>
    </row>
    <row r="49" spans="1:28" x14ac:dyDescent="0.2">
      <c r="A49" s="74" t="s">
        <v>42</v>
      </c>
      <c r="B49" s="74" t="s">
        <v>188</v>
      </c>
      <c r="C49" s="74" t="s">
        <v>20</v>
      </c>
      <c r="D49" s="74">
        <v>2.0561054532289398</v>
      </c>
      <c r="E49" s="74">
        <v>0.65289583499590098</v>
      </c>
      <c r="F49" s="74">
        <v>1.85233115565436</v>
      </c>
      <c r="G49" s="74">
        <v>4.6251460539847802</v>
      </c>
      <c r="H49" s="74">
        <v>1.4729697074082599</v>
      </c>
      <c r="I49" s="74">
        <v>1.03695489434</v>
      </c>
      <c r="J49" s="74">
        <v>262.47563510341502</v>
      </c>
      <c r="K49" s="3"/>
      <c r="L49" s="47" t="s">
        <v>182</v>
      </c>
      <c r="M49" s="3" t="str">
        <f t="shared" ref="M49:M56" si="4">C50</f>
        <v>Age</v>
      </c>
      <c r="N49" s="3">
        <f t="shared" ref="N49:N56" si="5">(N41-N33)/N33*100</f>
        <v>14.247546288426074</v>
      </c>
      <c r="O49" s="3"/>
      <c r="P49" s="3"/>
      <c r="Q49" s="129"/>
      <c r="R49" s="3"/>
      <c r="S49" s="3"/>
      <c r="T49" s="3"/>
      <c r="U49" s="3"/>
      <c r="V49" s="3"/>
      <c r="W49" s="129"/>
      <c r="X49" s="3"/>
      <c r="Y49" s="3"/>
      <c r="Z49" s="129"/>
      <c r="AA49" s="129"/>
      <c r="AB49" s="3"/>
    </row>
    <row r="50" spans="1:28" x14ac:dyDescent="0.2">
      <c r="A50" s="32" t="s">
        <v>43</v>
      </c>
      <c r="B50" s="32" t="s">
        <v>189</v>
      </c>
      <c r="C50" s="32" t="s">
        <v>38</v>
      </c>
      <c r="D50" s="32">
        <v>0.158771341718282</v>
      </c>
      <c r="E50" s="32">
        <v>6.8233139128828599E-2</v>
      </c>
      <c r="F50" s="32">
        <v>0.15807732667247901</v>
      </c>
      <c r="G50" s="32">
        <v>0.25331657682926501</v>
      </c>
      <c r="H50" s="32">
        <v>0.15809254431391401</v>
      </c>
      <c r="I50" s="32">
        <v>4.7134613630835397E-2</v>
      </c>
      <c r="J50" s="32">
        <v>266.49481041029901</v>
      </c>
      <c r="K50" s="3"/>
      <c r="L50" s="47" t="s">
        <v>146</v>
      </c>
      <c r="M50" s="3" t="str">
        <f t="shared" si="4"/>
        <v>Mother's serostatus</v>
      </c>
      <c r="N50" s="3">
        <f t="shared" si="5"/>
        <v>9.069288884904255</v>
      </c>
      <c r="O50" s="3"/>
      <c r="P50" s="3"/>
      <c r="Q50" s="132"/>
      <c r="R50" s="3"/>
      <c r="S50" s="3"/>
      <c r="T50" s="3"/>
      <c r="U50" s="3"/>
      <c r="V50" s="3"/>
      <c r="W50" s="132"/>
      <c r="X50" s="3"/>
      <c r="Y50" s="3"/>
      <c r="Z50" s="133"/>
      <c r="AA50" s="129"/>
      <c r="AB50" s="3"/>
    </row>
    <row r="51" spans="1:28" x14ac:dyDescent="0.2">
      <c r="A51" s="32" t="s">
        <v>43</v>
      </c>
      <c r="B51" s="32" t="s">
        <v>189</v>
      </c>
      <c r="C51" s="32" t="s">
        <v>39</v>
      </c>
      <c r="D51" s="32">
        <v>1.6288291633869201</v>
      </c>
      <c r="E51" s="32">
        <v>0.73467702603948104</v>
      </c>
      <c r="F51" s="32">
        <v>1.62856680830329</v>
      </c>
      <c r="G51" s="32">
        <v>2.5247707679123201</v>
      </c>
      <c r="H51" s="32">
        <v>1.62866674912416</v>
      </c>
      <c r="I51" s="32">
        <v>0.455866898421115</v>
      </c>
      <c r="J51" s="32">
        <v>266.49481041029901</v>
      </c>
      <c r="K51" s="3"/>
      <c r="L51" s="3"/>
      <c r="M51" s="3" t="str">
        <f t="shared" si="4"/>
        <v>Social vulnerability</v>
      </c>
      <c r="N51" s="3">
        <f t="shared" si="5"/>
        <v>13.424339575893955</v>
      </c>
      <c r="O51" s="3"/>
      <c r="P51" s="3"/>
      <c r="Q51" s="3"/>
      <c r="R51" s="3"/>
      <c r="S51" s="3"/>
      <c r="T51" s="3"/>
      <c r="U51" s="3"/>
      <c r="V51" s="3"/>
      <c r="W51" s="3"/>
      <c r="X51" s="3"/>
      <c r="Y51" s="3"/>
      <c r="Z51" s="133"/>
      <c r="AA51" s="129"/>
      <c r="AB51" s="3"/>
    </row>
    <row r="52" spans="1:28" x14ac:dyDescent="0.2">
      <c r="A52" s="32" t="s">
        <v>43</v>
      </c>
      <c r="B52" s="32" t="s">
        <v>189</v>
      </c>
      <c r="C52" s="32" t="s">
        <v>12</v>
      </c>
      <c r="D52" s="32">
        <v>0.15554863882047701</v>
      </c>
      <c r="E52" s="32">
        <v>-0.29446186423049397</v>
      </c>
      <c r="F52" s="32">
        <v>0.15511084864390201</v>
      </c>
      <c r="G52" s="32">
        <v>0.60836447136635796</v>
      </c>
      <c r="H52" s="32">
        <v>0.15520812310003801</v>
      </c>
      <c r="I52" s="32">
        <v>0.22962817253331599</v>
      </c>
      <c r="J52" s="32">
        <v>266.49481041029901</v>
      </c>
      <c r="K52" s="3"/>
      <c r="L52" s="3"/>
      <c r="M52" s="3" t="str">
        <f t="shared" si="4"/>
        <v>Host availability</v>
      </c>
      <c r="N52" s="3">
        <f t="shared" si="5"/>
        <v>17.497270077242817</v>
      </c>
      <c r="O52" s="3"/>
      <c r="P52" s="3"/>
      <c r="Q52" s="3"/>
      <c r="R52" s="3"/>
      <c r="S52" s="3"/>
      <c r="T52" s="3"/>
      <c r="U52" s="3"/>
      <c r="V52" s="3"/>
      <c r="W52" s="3"/>
      <c r="X52" s="3"/>
      <c r="Y52" s="3"/>
      <c r="Z52" s="3"/>
      <c r="AA52" s="3"/>
      <c r="AB52" s="3"/>
    </row>
    <row r="53" spans="1:28" x14ac:dyDescent="0.2">
      <c r="A53" s="32" t="s">
        <v>43</v>
      </c>
      <c r="B53" s="32" t="s">
        <v>189</v>
      </c>
      <c r="C53" s="32" t="s">
        <v>13</v>
      </c>
      <c r="D53" s="32">
        <v>-0.55500147656058796</v>
      </c>
      <c r="E53" s="32">
        <v>-1.18510201394434</v>
      </c>
      <c r="F53" s="32">
        <v>-0.556889716109224</v>
      </c>
      <c r="G53" s="32">
        <v>8.6475576347281993E-2</v>
      </c>
      <c r="H53" s="32">
        <v>-0.55668274603939505</v>
      </c>
      <c r="I53" s="32">
        <v>0.32301035134752099</v>
      </c>
      <c r="J53" s="32">
        <v>266.49481041029901</v>
      </c>
      <c r="K53" s="3"/>
      <c r="L53" s="3"/>
      <c r="M53" s="3" t="str">
        <f t="shared" si="4"/>
        <v>Infected vector abundance</v>
      </c>
      <c r="N53" s="3">
        <f t="shared" si="5"/>
        <v>-8.9696961782077764</v>
      </c>
      <c r="O53" s="3"/>
      <c r="P53" s="3"/>
      <c r="Q53" s="3"/>
      <c r="R53" s="3"/>
      <c r="S53" s="3"/>
      <c r="T53" s="3"/>
      <c r="U53" s="3"/>
      <c r="V53" s="3"/>
      <c r="W53" s="3"/>
      <c r="X53" s="3"/>
      <c r="Y53" s="3"/>
      <c r="Z53" s="3"/>
      <c r="AA53" s="3"/>
      <c r="AB53" s="3"/>
    </row>
    <row r="54" spans="1:28" x14ac:dyDescent="0.2">
      <c r="A54" s="32" t="s">
        <v>43</v>
      </c>
      <c r="B54" s="32" t="s">
        <v>189</v>
      </c>
      <c r="C54" s="32" t="s">
        <v>40</v>
      </c>
      <c r="D54" s="32">
        <v>0.43036132715773701</v>
      </c>
      <c r="E54" s="32">
        <v>0.213137062969803</v>
      </c>
      <c r="F54" s="32">
        <v>0.429494214107845</v>
      </c>
      <c r="G54" s="32">
        <v>0.65254028502699402</v>
      </c>
      <c r="H54" s="32">
        <v>0.42949995959926202</v>
      </c>
      <c r="I54" s="32">
        <v>0.111834606968434</v>
      </c>
      <c r="J54" s="32">
        <v>266.49481041029901</v>
      </c>
      <c r="K54" s="3"/>
      <c r="L54" s="3"/>
      <c r="M54" s="3" t="str">
        <f t="shared" si="4"/>
        <v>Mobility</v>
      </c>
      <c r="N54" s="3">
        <f t="shared" si="5"/>
        <v>6.3935990658295569</v>
      </c>
      <c r="O54" s="3"/>
      <c r="P54" s="3"/>
      <c r="Q54" s="3"/>
      <c r="R54" s="3"/>
      <c r="S54" s="3"/>
      <c r="T54" s="3"/>
      <c r="U54" s="3"/>
      <c r="V54" s="3"/>
      <c r="W54" s="3"/>
      <c r="X54" s="3"/>
      <c r="Y54" s="3"/>
      <c r="Z54" s="3"/>
      <c r="AA54" s="3"/>
      <c r="AB54" s="3"/>
    </row>
    <row r="55" spans="1:28" x14ac:dyDescent="0.2">
      <c r="A55" s="32" t="s">
        <v>43</v>
      </c>
      <c r="B55" s="32" t="s">
        <v>189</v>
      </c>
      <c r="C55" s="32" t="s">
        <v>14</v>
      </c>
      <c r="D55" s="32">
        <v>-0.24505605403123401</v>
      </c>
      <c r="E55" s="32">
        <v>-1.14628606091148</v>
      </c>
      <c r="F55" s="32">
        <v>-0.23962893060667101</v>
      </c>
      <c r="G55" s="32">
        <v>0.62540196179040397</v>
      </c>
      <c r="H55" s="32">
        <v>-0.23961452365889599</v>
      </c>
      <c r="I55" s="32">
        <v>0.45098766849975802</v>
      </c>
      <c r="J55" s="32">
        <v>266.49481041029901</v>
      </c>
      <c r="K55" s="3"/>
      <c r="L55" s="3"/>
      <c r="M55" s="3" t="str">
        <f t="shared" si="4"/>
        <v>Degree</v>
      </c>
      <c r="N55" s="3">
        <f t="shared" si="5"/>
        <v>7.9045426750466756</v>
      </c>
      <c r="O55" s="3"/>
      <c r="P55" s="3"/>
      <c r="Q55" s="3"/>
      <c r="R55" s="3"/>
      <c r="S55" s="3"/>
      <c r="T55" s="3"/>
      <c r="U55" s="3"/>
      <c r="V55" s="3"/>
      <c r="W55" s="3"/>
      <c r="X55" s="3"/>
      <c r="Y55" s="3"/>
      <c r="Z55" s="3"/>
      <c r="AA55" s="3"/>
      <c r="AB55" s="3"/>
    </row>
    <row r="56" spans="1:28" x14ac:dyDescent="0.2">
      <c r="A56" s="32" t="s">
        <v>43</v>
      </c>
      <c r="B56" s="32" t="s">
        <v>189</v>
      </c>
      <c r="C56" s="32" t="s">
        <v>30</v>
      </c>
      <c r="D56" s="32">
        <v>0.29864575293821799</v>
      </c>
      <c r="E56" s="32">
        <v>-5.6445774414768002E-2</v>
      </c>
      <c r="F56" s="32">
        <v>0.29816565680610202</v>
      </c>
      <c r="G56" s="32">
        <v>0.65656374667360995</v>
      </c>
      <c r="H56" s="32">
        <v>0.29819784553859902</v>
      </c>
      <c r="I56" s="32">
        <v>0.18157097111517001</v>
      </c>
      <c r="J56" s="32">
        <v>266.49481041029901</v>
      </c>
      <c r="K56" s="3"/>
      <c r="L56" s="3"/>
      <c r="M56" s="3" t="str">
        <f t="shared" si="4"/>
        <v>Range for spatial field</v>
      </c>
      <c r="N56" s="3">
        <f t="shared" si="5"/>
        <v>7.3129007530575496</v>
      </c>
      <c r="O56" s="3"/>
      <c r="P56" s="3"/>
      <c r="Q56" s="3"/>
      <c r="R56" s="3"/>
      <c r="S56" s="3"/>
      <c r="T56" s="3"/>
      <c r="U56" s="3"/>
      <c r="V56" s="3"/>
      <c r="W56" s="3"/>
      <c r="X56" s="3"/>
      <c r="Y56" s="3"/>
      <c r="Z56" s="3"/>
      <c r="AA56" s="3"/>
      <c r="AB56" s="3"/>
    </row>
    <row r="57" spans="1:28" x14ac:dyDescent="0.2">
      <c r="A57" s="32" t="s">
        <v>43</v>
      </c>
      <c r="B57" s="32" t="s">
        <v>189</v>
      </c>
      <c r="C57" s="32" t="s">
        <v>19</v>
      </c>
      <c r="D57" s="32">
        <v>393.91303766530802</v>
      </c>
      <c r="E57" s="32">
        <v>86.506262673065606</v>
      </c>
      <c r="F57" s="32">
        <v>303.34430200739598</v>
      </c>
      <c r="G57" s="32">
        <v>1255.5266400665901</v>
      </c>
      <c r="H57" s="32">
        <v>190.70461880994199</v>
      </c>
      <c r="I57" s="32">
        <v>323.30545734409901</v>
      </c>
      <c r="J57" s="32">
        <v>266.49481041029901</v>
      </c>
      <c r="K57" s="3"/>
      <c r="L57" s="3"/>
      <c r="M57" s="47" t="s">
        <v>201</v>
      </c>
      <c r="N57" s="47" t="s">
        <v>200</v>
      </c>
      <c r="O57" s="3"/>
      <c r="P57" s="3"/>
      <c r="Q57" s="3"/>
      <c r="R57" s="3"/>
      <c r="S57" s="3"/>
      <c r="T57" s="3"/>
      <c r="U57" s="3"/>
      <c r="V57" s="3"/>
      <c r="W57" s="3"/>
      <c r="X57" s="3"/>
      <c r="Y57" s="3"/>
      <c r="Z57" s="3"/>
      <c r="AA57" s="3"/>
      <c r="AB57" s="3"/>
    </row>
    <row r="58" spans="1:28" x14ac:dyDescent="0.2">
      <c r="A58" s="32" t="s">
        <v>43</v>
      </c>
      <c r="B58" s="32" t="s">
        <v>189</v>
      </c>
      <c r="C58" s="32" t="s">
        <v>20</v>
      </c>
      <c r="D58" s="32">
        <v>1.9023761637916199</v>
      </c>
      <c r="E58" s="32">
        <v>0.578922978103112</v>
      </c>
      <c r="F58" s="32">
        <v>1.7059868726724501</v>
      </c>
      <c r="G58" s="32">
        <v>4.34554342709946</v>
      </c>
      <c r="H58" s="32">
        <v>1.3371317264932201</v>
      </c>
      <c r="I58" s="32">
        <v>0.98469353947784</v>
      </c>
      <c r="J58" s="32">
        <v>266.49481041029901</v>
      </c>
      <c r="K58" s="3"/>
      <c r="L58" s="3"/>
      <c r="M58" s="47" t="s">
        <v>53</v>
      </c>
      <c r="N58" s="47" t="str">
        <f>CONCATENATE(ROUND((J39-J40)/J39*100,1), "%")</f>
        <v>3.2%</v>
      </c>
      <c r="O58" s="3"/>
      <c r="P58" s="3"/>
      <c r="Q58" s="3"/>
      <c r="R58" s="3"/>
      <c r="S58" s="3"/>
      <c r="T58" s="3"/>
      <c r="U58" s="3"/>
      <c r="V58" s="3"/>
      <c r="W58" s="3"/>
      <c r="X58" s="3"/>
      <c r="Y58" s="3"/>
      <c r="Z58" s="3"/>
      <c r="AA58" s="3"/>
      <c r="AB58" s="3"/>
    </row>
    <row r="59" spans="1:28" x14ac:dyDescent="0.2">
      <c r="A59" s="32" t="s">
        <v>44</v>
      </c>
      <c r="B59" s="32" t="s">
        <v>194</v>
      </c>
      <c r="C59" s="32" t="s">
        <v>38</v>
      </c>
      <c r="D59" s="32">
        <v>0.14652059881641899</v>
      </c>
      <c r="E59" s="32">
        <v>6.1764402229087197E-2</v>
      </c>
      <c r="F59" s="32">
        <v>0.14652059881641899</v>
      </c>
      <c r="G59" s="32">
        <v>0.23127679540375001</v>
      </c>
      <c r="H59" s="32">
        <v>0.14652059881641899</v>
      </c>
      <c r="I59" s="32">
        <v>4.3243752056607902E-2</v>
      </c>
      <c r="J59" s="32">
        <v>272.424295874839</v>
      </c>
      <c r="K59" s="4"/>
      <c r="L59" s="49" t="s">
        <v>179</v>
      </c>
      <c r="M59" s="4"/>
      <c r="N59" s="4"/>
      <c r="O59" s="4"/>
      <c r="P59" s="4"/>
      <c r="Q59" s="4"/>
      <c r="R59" s="4"/>
      <c r="S59" s="4"/>
      <c r="T59" s="4"/>
      <c r="U59" s="4"/>
      <c r="V59" s="4"/>
      <c r="W59" s="4"/>
      <c r="X59" s="4"/>
      <c r="Y59" s="4"/>
      <c r="Z59" s="4"/>
      <c r="AA59" s="4"/>
      <c r="AB59" s="4"/>
    </row>
    <row r="60" spans="1:28" x14ac:dyDescent="0.2">
      <c r="A60" s="32" t="s">
        <v>44</v>
      </c>
      <c r="B60" s="32" t="s">
        <v>194</v>
      </c>
      <c r="C60" s="32" t="s">
        <v>39</v>
      </c>
      <c r="D60" s="32">
        <v>1.5973889338512699</v>
      </c>
      <c r="E60" s="32">
        <v>0.78413876187339104</v>
      </c>
      <c r="F60" s="32">
        <v>1.5973889338512699</v>
      </c>
      <c r="G60" s="32">
        <v>2.4106391058291599</v>
      </c>
      <c r="H60" s="32">
        <v>1.5973889338512699</v>
      </c>
      <c r="I60" s="32">
        <v>0.41493118158940501</v>
      </c>
      <c r="J60" s="32">
        <v>272.424295874839</v>
      </c>
      <c r="K60" s="4"/>
      <c r="L60" s="49" t="s">
        <v>180</v>
      </c>
      <c r="M60" s="4" t="str">
        <f t="shared" ref="M60:M75" si="6">C59</f>
        <v>Age</v>
      </c>
      <c r="N60" s="4">
        <f t="shared" ref="N60:N75" si="7">G59-E59</f>
        <v>0.16951239317466282</v>
      </c>
      <c r="O60" s="4"/>
      <c r="P60" s="4"/>
      <c r="Q60" s="4"/>
      <c r="R60" s="4"/>
      <c r="S60" s="4"/>
      <c r="T60" s="4"/>
      <c r="U60" s="4"/>
      <c r="V60" s="4"/>
      <c r="W60" s="4"/>
      <c r="X60" s="4"/>
      <c r="Y60" s="4"/>
      <c r="Z60" s="4"/>
      <c r="AA60" s="4"/>
      <c r="AB60" s="4"/>
    </row>
    <row r="61" spans="1:28" x14ac:dyDescent="0.2">
      <c r="A61" s="32" t="s">
        <v>44</v>
      </c>
      <c r="B61" s="32" t="s">
        <v>194</v>
      </c>
      <c r="C61" s="32" t="s">
        <v>12</v>
      </c>
      <c r="D61" s="32">
        <v>0.117994886239825</v>
      </c>
      <c r="E61" s="32">
        <v>-0.27623756215574902</v>
      </c>
      <c r="F61" s="32">
        <v>0.117994886239825</v>
      </c>
      <c r="G61" s="32">
        <v>0.51222733463539805</v>
      </c>
      <c r="H61" s="32">
        <v>0.117994886239825</v>
      </c>
      <c r="I61" s="32">
        <v>0.20114270032777601</v>
      </c>
      <c r="J61" s="32">
        <v>272.424295874839</v>
      </c>
      <c r="K61" s="4"/>
      <c r="L61" s="4"/>
      <c r="M61" s="4" t="str">
        <f t="shared" si="6"/>
        <v>Mother's serostatus</v>
      </c>
      <c r="N61" s="4">
        <f t="shared" si="7"/>
        <v>1.6265003439557688</v>
      </c>
      <c r="O61" s="4"/>
      <c r="P61" s="4"/>
      <c r="Q61" s="4"/>
      <c r="R61" s="4"/>
      <c r="S61" s="4"/>
      <c r="T61" s="4"/>
      <c r="U61" s="4"/>
      <c r="V61" s="4"/>
      <c r="W61" s="4"/>
      <c r="X61" s="4"/>
      <c r="Y61" s="4"/>
      <c r="Z61" s="4"/>
      <c r="AA61" s="4"/>
      <c r="AB61" s="4"/>
    </row>
    <row r="62" spans="1:28" x14ac:dyDescent="0.2">
      <c r="A62" s="32" t="s">
        <v>44</v>
      </c>
      <c r="B62" s="32" t="s">
        <v>194</v>
      </c>
      <c r="C62" s="32" t="s">
        <v>13</v>
      </c>
      <c r="D62" s="32">
        <v>-0.50987838012684505</v>
      </c>
      <c r="E62" s="32">
        <v>-1.0498241038560501</v>
      </c>
      <c r="F62" s="32">
        <v>-0.50987838012684505</v>
      </c>
      <c r="G62" s="32">
        <v>3.00673436023568E-2</v>
      </c>
      <c r="H62" s="32">
        <v>-0.50987838012684505</v>
      </c>
      <c r="I62" s="32">
        <v>0.27548757425555997</v>
      </c>
      <c r="J62" s="32">
        <v>272.424295874839</v>
      </c>
      <c r="K62" s="4"/>
      <c r="L62" s="4"/>
      <c r="M62" s="4" t="str">
        <f t="shared" si="6"/>
        <v>Social vulnerability</v>
      </c>
      <c r="N62" s="4">
        <f t="shared" si="7"/>
        <v>0.78846489679114706</v>
      </c>
      <c r="O62" s="4"/>
      <c r="P62" s="4"/>
      <c r="Q62" s="4"/>
      <c r="R62" s="4"/>
      <c r="S62" s="4"/>
      <c r="T62" s="4"/>
      <c r="U62" s="4"/>
      <c r="V62" s="4"/>
      <c r="W62" s="4"/>
      <c r="X62" s="4"/>
      <c r="Y62" s="4"/>
      <c r="Z62" s="4"/>
      <c r="AA62" s="4"/>
      <c r="AB62" s="4"/>
    </row>
    <row r="63" spans="1:28" x14ac:dyDescent="0.2">
      <c r="A63" s="32" t="s">
        <v>44</v>
      </c>
      <c r="B63" s="32" t="s">
        <v>194</v>
      </c>
      <c r="C63" s="32" t="s">
        <v>40</v>
      </c>
      <c r="D63" s="32">
        <v>0.44336826574406302</v>
      </c>
      <c r="E63" s="32">
        <v>0.21472170923954301</v>
      </c>
      <c r="F63" s="32">
        <v>0.44336826574406302</v>
      </c>
      <c r="G63" s="32">
        <v>0.672014822248582</v>
      </c>
      <c r="H63" s="32">
        <v>0.44336826574406302</v>
      </c>
      <c r="I63" s="32">
        <v>0.116658550008089</v>
      </c>
      <c r="J63" s="32">
        <v>272.424295874839</v>
      </c>
      <c r="K63" s="4"/>
      <c r="L63" s="4"/>
      <c r="M63" s="4" t="str">
        <f t="shared" si="6"/>
        <v>Host availability</v>
      </c>
      <c r="N63" s="4">
        <f t="shared" si="7"/>
        <v>1.0798914474584069</v>
      </c>
      <c r="O63" s="4"/>
      <c r="P63" s="4"/>
      <c r="Q63" s="4"/>
      <c r="R63" s="4"/>
      <c r="S63" s="4"/>
      <c r="T63" s="4"/>
      <c r="U63" s="4"/>
      <c r="V63" s="4"/>
      <c r="W63" s="4"/>
      <c r="X63" s="4"/>
      <c r="Y63" s="4"/>
      <c r="Z63" s="4"/>
      <c r="AA63" s="4"/>
      <c r="AB63" s="4"/>
    </row>
    <row r="64" spans="1:28" x14ac:dyDescent="0.2">
      <c r="A64" s="32" t="s">
        <v>44</v>
      </c>
      <c r="B64" s="32" t="s">
        <v>194</v>
      </c>
      <c r="C64" s="32" t="s">
        <v>14</v>
      </c>
      <c r="D64" s="32">
        <v>-1.5968925690914499</v>
      </c>
      <c r="E64" s="32">
        <v>-2.9197041461764601</v>
      </c>
      <c r="F64" s="32">
        <v>-1.5968925690914499</v>
      </c>
      <c r="G64" s="32">
        <v>-0.27408099200645403</v>
      </c>
      <c r="H64" s="32">
        <v>-1.5968925690914499</v>
      </c>
      <c r="I64" s="32">
        <v>0.67491626760449197</v>
      </c>
      <c r="J64" s="32">
        <v>272.424295874839</v>
      </c>
      <c r="K64" s="4"/>
      <c r="L64" s="4"/>
      <c r="M64" s="4" t="str">
        <f t="shared" si="6"/>
        <v>Infected vector abundance</v>
      </c>
      <c r="N64" s="4">
        <f t="shared" si="7"/>
        <v>0.45729311300903897</v>
      </c>
      <c r="O64" s="4"/>
      <c r="P64" s="4"/>
      <c r="Q64" s="4"/>
      <c r="R64" s="4"/>
      <c r="S64" s="4"/>
      <c r="T64" s="4"/>
      <c r="U64" s="4"/>
      <c r="V64" s="4"/>
      <c r="W64" s="4"/>
      <c r="X64" s="4"/>
      <c r="Y64" s="4"/>
      <c r="Z64" s="4"/>
      <c r="AA64" s="4"/>
      <c r="AB64" s="4"/>
    </row>
    <row r="65" spans="1:28" x14ac:dyDescent="0.2">
      <c r="A65" s="32" t="s">
        <v>44</v>
      </c>
      <c r="B65" s="32" t="s">
        <v>194</v>
      </c>
      <c r="C65" s="32" t="s">
        <v>45</v>
      </c>
      <c r="D65" s="32">
        <v>-0.196490095654934</v>
      </c>
      <c r="E65" s="32">
        <v>-0.43062641190073098</v>
      </c>
      <c r="F65" s="32">
        <v>-0.196490095654934</v>
      </c>
      <c r="G65" s="32">
        <v>3.76462205908627E-2</v>
      </c>
      <c r="H65" s="32">
        <v>-0.196490095654934</v>
      </c>
      <c r="I65" s="32">
        <v>0.119459499303372</v>
      </c>
      <c r="J65" s="32">
        <v>272.424295874839</v>
      </c>
      <c r="K65" s="4"/>
      <c r="L65" s="4"/>
      <c r="M65" s="4" t="str">
        <f t="shared" si="6"/>
        <v>Mobility</v>
      </c>
      <c r="N65" s="4">
        <f t="shared" si="7"/>
        <v>2.6456231541700062</v>
      </c>
      <c r="O65" s="4"/>
      <c r="P65" s="4"/>
      <c r="Q65" s="4"/>
      <c r="R65" s="4"/>
      <c r="S65" s="4"/>
      <c r="T65" s="4"/>
      <c r="U65" s="4"/>
      <c r="V65" s="4"/>
      <c r="W65" s="4"/>
      <c r="X65" s="4"/>
      <c r="Y65" s="4"/>
      <c r="Z65" s="4"/>
      <c r="AA65" s="4"/>
      <c r="AB65" s="4"/>
    </row>
    <row r="66" spans="1:28" x14ac:dyDescent="0.2">
      <c r="A66" s="32" t="s">
        <v>44</v>
      </c>
      <c r="B66" s="32" t="s">
        <v>194</v>
      </c>
      <c r="C66" s="32" t="s">
        <v>46</v>
      </c>
      <c r="D66" s="32">
        <v>0.61645644788354403</v>
      </c>
      <c r="E66" s="32">
        <v>0.23568171746007299</v>
      </c>
      <c r="F66" s="32">
        <v>0.61645644788354403</v>
      </c>
      <c r="G66" s="32">
        <v>0.99723117830701402</v>
      </c>
      <c r="H66" s="32">
        <v>0.61645644788354403</v>
      </c>
      <c r="I66" s="32">
        <v>0.19427639151891199</v>
      </c>
      <c r="J66" s="32">
        <v>272.424295874839</v>
      </c>
      <c r="K66" s="4"/>
      <c r="L66" s="4"/>
      <c r="M66" s="4" t="str">
        <f t="shared" si="6"/>
        <v>Harmonic</v>
      </c>
      <c r="N66" s="4">
        <f t="shared" si="7"/>
        <v>0.46827263249159368</v>
      </c>
      <c r="O66" s="4"/>
      <c r="P66" s="4"/>
      <c r="Q66" s="4"/>
      <c r="R66" s="4"/>
      <c r="S66" s="4"/>
      <c r="T66" s="4"/>
      <c r="U66" s="4"/>
      <c r="V66" s="4"/>
      <c r="W66" s="4"/>
      <c r="X66" s="4"/>
      <c r="Y66" s="4"/>
      <c r="Z66" s="4"/>
      <c r="AA66" s="4"/>
      <c r="AB66" s="4"/>
    </row>
    <row r="67" spans="1:28" x14ac:dyDescent="0.2">
      <c r="A67" s="89" t="s">
        <v>47</v>
      </c>
      <c r="B67" s="89" t="s">
        <v>195</v>
      </c>
      <c r="C67" s="89" t="s">
        <v>38</v>
      </c>
      <c r="D67" s="89">
        <v>0.17219569423970699</v>
      </c>
      <c r="E67" s="89">
        <v>7.7203512855900602E-2</v>
      </c>
      <c r="F67" s="89">
        <v>0.17109300496049001</v>
      </c>
      <c r="G67" s="89">
        <v>0.27355307593603601</v>
      </c>
      <c r="H67" s="89">
        <v>0.171117246045421</v>
      </c>
      <c r="I67" s="89">
        <v>4.9967823742694102E-2</v>
      </c>
      <c r="J67" s="89">
        <v>262.579411797082</v>
      </c>
      <c r="K67" s="4"/>
      <c r="L67" s="4"/>
      <c r="M67" s="4" t="str">
        <f t="shared" si="6"/>
        <v>mover:harmonic</v>
      </c>
      <c r="N67" s="4">
        <f t="shared" si="7"/>
        <v>0.76154946084694108</v>
      </c>
      <c r="O67" s="4"/>
      <c r="P67" s="4"/>
      <c r="Q67" s="4"/>
      <c r="R67" s="4"/>
      <c r="S67" s="4"/>
      <c r="T67" s="4"/>
      <c r="U67" s="4"/>
      <c r="V67" s="4"/>
      <c r="W67" s="4"/>
      <c r="X67" s="4"/>
      <c r="Y67" s="4"/>
      <c r="Z67" s="4"/>
      <c r="AA67" s="4"/>
      <c r="AB67" s="4"/>
    </row>
    <row r="68" spans="1:28" x14ac:dyDescent="0.2">
      <c r="A68" s="89" t="s">
        <v>47</v>
      </c>
      <c r="B68" s="89" t="s">
        <v>195</v>
      </c>
      <c r="C68" s="89" t="s">
        <v>39</v>
      </c>
      <c r="D68" s="89">
        <v>1.57768613835676</v>
      </c>
      <c r="E68" s="89">
        <v>0.67505303254026805</v>
      </c>
      <c r="F68" s="89">
        <v>1.5766496576112199</v>
      </c>
      <c r="G68" s="89">
        <v>2.48672919688063</v>
      </c>
      <c r="H68" s="89">
        <v>1.5768311965374999</v>
      </c>
      <c r="I68" s="89">
        <v>0.461072262795445</v>
      </c>
      <c r="J68" s="89">
        <v>262.579411797082</v>
      </c>
      <c r="K68" s="4"/>
      <c r="L68" s="49" t="s">
        <v>181</v>
      </c>
      <c r="M68" s="4" t="str">
        <f t="shared" si="6"/>
        <v>Age</v>
      </c>
      <c r="N68" s="4">
        <f t="shared" si="7"/>
        <v>0.1963495630801354</v>
      </c>
      <c r="O68" s="4"/>
      <c r="P68" s="4"/>
      <c r="Q68" s="4"/>
      <c r="R68" s="4"/>
      <c r="S68" s="4"/>
      <c r="T68" s="4"/>
      <c r="U68" s="4"/>
      <c r="V68" s="4"/>
      <c r="W68" s="4"/>
      <c r="X68" s="4"/>
      <c r="Y68" s="4"/>
      <c r="Z68" s="4"/>
      <c r="AA68" s="4"/>
      <c r="AB68" s="4"/>
    </row>
    <row r="69" spans="1:28" x14ac:dyDescent="0.2">
      <c r="A69" s="89" t="s">
        <v>47</v>
      </c>
      <c r="B69" s="89" t="s">
        <v>195</v>
      </c>
      <c r="C69" s="89" t="s">
        <v>12</v>
      </c>
      <c r="D69" s="89">
        <v>0.121690294285309</v>
      </c>
      <c r="E69" s="89">
        <v>-0.332748249672362</v>
      </c>
      <c r="F69" s="89">
        <v>0.120642022030469</v>
      </c>
      <c r="G69" s="89">
        <v>0.58231335800039097</v>
      </c>
      <c r="H69" s="89">
        <v>0.12070543959483</v>
      </c>
      <c r="I69" s="89">
        <v>0.23255930596437699</v>
      </c>
      <c r="J69" s="89">
        <v>262.579411797082</v>
      </c>
      <c r="K69" s="4"/>
      <c r="L69" s="4"/>
      <c r="M69" s="4" t="str">
        <f t="shared" si="6"/>
        <v>Mother's serostatus</v>
      </c>
      <c r="N69" s="4">
        <f t="shared" si="7"/>
        <v>1.811676164340362</v>
      </c>
      <c r="O69" s="4"/>
      <c r="P69" s="4"/>
      <c r="Q69" s="4"/>
      <c r="R69" s="4"/>
      <c r="S69" s="49"/>
      <c r="T69" s="4"/>
      <c r="U69" s="4"/>
      <c r="V69" s="4"/>
      <c r="W69" s="136"/>
      <c r="X69" s="4"/>
      <c r="Y69" s="49"/>
      <c r="Z69" s="4"/>
      <c r="AA69" s="4"/>
      <c r="AB69" s="4"/>
    </row>
    <row r="70" spans="1:28" x14ac:dyDescent="0.2">
      <c r="A70" s="89" t="s">
        <v>47</v>
      </c>
      <c r="B70" s="89" t="s">
        <v>195</v>
      </c>
      <c r="C70" s="89" t="s">
        <v>13</v>
      </c>
      <c r="D70" s="89">
        <v>-0.49184105661458799</v>
      </c>
      <c r="E70" s="89">
        <v>-1.13255622613906</v>
      </c>
      <c r="F70" s="89">
        <v>-0.49479604511048397</v>
      </c>
      <c r="G70" s="89">
        <v>0.16660355182078099</v>
      </c>
      <c r="H70" s="89">
        <v>-0.494496438415159</v>
      </c>
      <c r="I70" s="89">
        <v>0.32967449176758701</v>
      </c>
      <c r="J70" s="89">
        <v>262.579411797082</v>
      </c>
      <c r="K70" s="4"/>
      <c r="L70" s="49"/>
      <c r="M70" s="4" t="str">
        <f t="shared" si="6"/>
        <v>Social vulnerability</v>
      </c>
      <c r="N70" s="4">
        <f t="shared" si="7"/>
        <v>0.91506160767275291</v>
      </c>
      <c r="O70" s="134"/>
      <c r="P70" s="134"/>
      <c r="Q70" s="135"/>
      <c r="R70" s="4"/>
      <c r="S70" s="49"/>
      <c r="T70" s="136"/>
      <c r="U70" s="135"/>
      <c r="V70" s="135"/>
      <c r="W70" s="135"/>
      <c r="X70" s="4"/>
      <c r="Y70" s="4"/>
      <c r="Z70" s="136"/>
      <c r="AA70" s="136"/>
      <c r="AB70" s="4"/>
    </row>
    <row r="71" spans="1:28" x14ac:dyDescent="0.2">
      <c r="A71" s="89" t="s">
        <v>47</v>
      </c>
      <c r="B71" s="89" t="s">
        <v>195</v>
      </c>
      <c r="C71" s="89" t="s">
        <v>40</v>
      </c>
      <c r="D71" s="89">
        <v>0.43588923064228902</v>
      </c>
      <c r="E71" s="89">
        <v>0.21191103153142599</v>
      </c>
      <c r="F71" s="89">
        <v>0.43499448962137699</v>
      </c>
      <c r="G71" s="89">
        <v>0.66504704111525104</v>
      </c>
      <c r="H71" s="89">
        <v>0.43503875777478201</v>
      </c>
      <c r="I71" s="89">
        <v>0.115438514430501</v>
      </c>
      <c r="J71" s="89">
        <v>262.579411797082</v>
      </c>
      <c r="K71" s="4"/>
      <c r="L71" s="49"/>
      <c r="M71" s="4" t="str">
        <f t="shared" si="6"/>
        <v>Host availability</v>
      </c>
      <c r="N71" s="4">
        <f t="shared" si="7"/>
        <v>1.2991597779598409</v>
      </c>
      <c r="O71" s="4"/>
      <c r="P71" s="4"/>
      <c r="Q71" s="136"/>
      <c r="R71" s="4"/>
      <c r="S71" s="4"/>
      <c r="T71" s="136"/>
      <c r="U71" s="136"/>
      <c r="V71" s="136"/>
      <c r="W71" s="136"/>
      <c r="X71" s="4"/>
      <c r="Y71" s="4"/>
      <c r="Z71" s="136"/>
      <c r="AA71" s="136"/>
      <c r="AB71" s="4"/>
    </row>
    <row r="72" spans="1:28" x14ac:dyDescent="0.2">
      <c r="A72" s="89" t="s">
        <v>47</v>
      </c>
      <c r="B72" s="89" t="s">
        <v>195</v>
      </c>
      <c r="C72" s="89" t="s">
        <v>14</v>
      </c>
      <c r="D72" s="89">
        <v>-1.66448916957661</v>
      </c>
      <c r="E72" s="89">
        <v>-3.06367551097747</v>
      </c>
      <c r="F72" s="89">
        <v>-1.65981559093065</v>
      </c>
      <c r="G72" s="89">
        <v>-0.29280926693897302</v>
      </c>
      <c r="H72" s="89">
        <v>-1.66010654423639</v>
      </c>
      <c r="I72" s="89">
        <v>0.70582712892195099</v>
      </c>
      <c r="J72" s="89">
        <v>262.579411797082</v>
      </c>
      <c r="K72" s="4"/>
      <c r="L72" s="49"/>
      <c r="M72" s="4" t="str">
        <f t="shared" si="6"/>
        <v>Infected vector abundance</v>
      </c>
      <c r="N72" s="4">
        <f t="shared" si="7"/>
        <v>0.45313600958382505</v>
      </c>
      <c r="O72" s="4"/>
      <c r="P72" s="4"/>
      <c r="Q72" s="136"/>
      <c r="R72" s="4"/>
      <c r="S72" s="4"/>
      <c r="T72" s="136"/>
      <c r="U72" s="136"/>
      <c r="V72" s="136"/>
      <c r="W72" s="137"/>
      <c r="X72" s="4"/>
      <c r="Y72" s="138"/>
      <c r="Z72" s="136"/>
      <c r="AA72" s="136"/>
      <c r="AB72" s="4"/>
    </row>
    <row r="73" spans="1:28" x14ac:dyDescent="0.2">
      <c r="A73" s="89" t="s">
        <v>47</v>
      </c>
      <c r="B73" s="89" t="s">
        <v>195</v>
      </c>
      <c r="C73" s="89" t="s">
        <v>45</v>
      </c>
      <c r="D73" s="89">
        <v>-0.223654707450016</v>
      </c>
      <c r="E73" s="89">
        <v>-0.49090902022162702</v>
      </c>
      <c r="F73" s="89">
        <v>-0.22193013820964</v>
      </c>
      <c r="G73" s="89">
        <v>3.3441015631283197E-2</v>
      </c>
      <c r="H73" s="89">
        <v>-0.22204166642388701</v>
      </c>
      <c r="I73" s="89">
        <v>0.13338395808161799</v>
      </c>
      <c r="J73" s="89">
        <v>262.579411797082</v>
      </c>
      <c r="K73" s="4"/>
      <c r="L73" s="49"/>
      <c r="M73" s="4" t="str">
        <f t="shared" si="6"/>
        <v>Mobility</v>
      </c>
      <c r="N73" s="4">
        <f t="shared" si="7"/>
        <v>2.7708662440384968</v>
      </c>
      <c r="O73" s="4"/>
      <c r="P73" s="4"/>
      <c r="Q73" s="136"/>
      <c r="R73" s="4"/>
      <c r="S73" s="4"/>
      <c r="T73" s="136"/>
      <c r="U73" s="136"/>
      <c r="V73" s="136"/>
      <c r="W73" s="137"/>
      <c r="X73" s="4"/>
      <c r="Y73" s="138"/>
      <c r="Z73" s="136"/>
      <c r="AA73" s="136"/>
      <c r="AB73" s="4"/>
    </row>
    <row r="74" spans="1:28" x14ac:dyDescent="0.2">
      <c r="A74" s="89" t="s">
        <v>47</v>
      </c>
      <c r="B74" s="89" t="s">
        <v>195</v>
      </c>
      <c r="C74" s="89" t="s">
        <v>46</v>
      </c>
      <c r="D74" s="89">
        <v>0.62347434057151696</v>
      </c>
      <c r="E74" s="89">
        <v>0.21660403935172701</v>
      </c>
      <c r="F74" s="89">
        <v>0.62162747731196799</v>
      </c>
      <c r="G74" s="89">
        <v>1.04130124768705</v>
      </c>
      <c r="H74" s="89">
        <v>0.62177107986064495</v>
      </c>
      <c r="I74" s="89">
        <v>0.20996163587778099</v>
      </c>
      <c r="J74" s="89">
        <v>262.579411797082</v>
      </c>
      <c r="K74" s="4"/>
      <c r="L74" s="49" t="s">
        <v>146</v>
      </c>
      <c r="M74" s="4" t="str">
        <f t="shared" si="6"/>
        <v>Harmonic</v>
      </c>
      <c r="N74" s="4">
        <f t="shared" si="7"/>
        <v>0.52435003585291018</v>
      </c>
      <c r="O74" s="4"/>
      <c r="P74" s="4"/>
      <c r="Q74" s="136"/>
      <c r="R74" s="4"/>
      <c r="S74" s="4"/>
      <c r="T74" s="136"/>
      <c r="U74" s="136"/>
      <c r="V74" s="136"/>
      <c r="W74" s="137"/>
      <c r="X74" s="4"/>
      <c r="Y74" s="4"/>
      <c r="Z74" s="136"/>
      <c r="AA74" s="136"/>
      <c r="AB74" s="4"/>
    </row>
    <row r="75" spans="1:28" x14ac:dyDescent="0.2">
      <c r="A75" s="89" t="s">
        <v>47</v>
      </c>
      <c r="B75" s="89" t="s">
        <v>195</v>
      </c>
      <c r="C75" s="89" t="s">
        <v>19</v>
      </c>
      <c r="D75" s="89">
        <v>304.91204411819302</v>
      </c>
      <c r="E75" s="89">
        <v>89.525342783103298</v>
      </c>
      <c r="F75" s="89">
        <v>259.50442063594102</v>
      </c>
      <c r="G75" s="89">
        <v>790.90032762205203</v>
      </c>
      <c r="H75" s="89">
        <v>190.080586134014</v>
      </c>
      <c r="I75" s="89">
        <v>186.06628617092801</v>
      </c>
      <c r="J75" s="89">
        <v>262.579411797082</v>
      </c>
      <c r="K75" s="4"/>
      <c r="L75" s="49" t="s">
        <v>146</v>
      </c>
      <c r="M75" s="4" t="str">
        <f t="shared" si="6"/>
        <v>mover:harmonic</v>
      </c>
      <c r="N75" s="4">
        <f t="shared" si="7"/>
        <v>0.82469720833532301</v>
      </c>
      <c r="O75" s="4"/>
      <c r="P75" s="4"/>
      <c r="Q75" s="136"/>
      <c r="R75" s="4"/>
      <c r="S75" s="4"/>
      <c r="T75" s="136"/>
      <c r="U75" s="136"/>
      <c r="V75" s="136"/>
      <c r="W75" s="136"/>
      <c r="X75" s="4"/>
      <c r="Y75" s="4"/>
      <c r="Z75" s="136"/>
      <c r="AA75" s="136"/>
      <c r="AB75" s="4"/>
    </row>
    <row r="76" spans="1:28" x14ac:dyDescent="0.2">
      <c r="A76" s="89" t="s">
        <v>47</v>
      </c>
      <c r="B76" s="89" t="s">
        <v>195</v>
      </c>
      <c r="C76" s="89" t="s">
        <v>20</v>
      </c>
      <c r="D76" s="89">
        <v>2.1970418930275502</v>
      </c>
      <c r="E76" s="89">
        <v>0.77027962351297596</v>
      </c>
      <c r="F76" s="89">
        <v>2.00197198923841</v>
      </c>
      <c r="G76" s="89">
        <v>4.7463462359610498</v>
      </c>
      <c r="H76" s="89">
        <v>1.6434832598815801</v>
      </c>
      <c r="I76" s="89">
        <v>1.03446622261461</v>
      </c>
      <c r="J76" s="89">
        <v>262.579411797082</v>
      </c>
      <c r="K76" s="4"/>
      <c r="L76" s="49" t="s">
        <v>182</v>
      </c>
      <c r="M76" s="4" t="str">
        <f t="shared" ref="M76:M83" si="8">C67</f>
        <v>Age</v>
      </c>
      <c r="N76" s="4">
        <f t="shared" ref="N76:N83" si="9">(N68-N60)/N60*100</f>
        <v>15.831981014992808</v>
      </c>
      <c r="O76" s="4"/>
      <c r="P76" s="4"/>
      <c r="Q76" s="4"/>
      <c r="R76" s="4"/>
      <c r="S76" s="4"/>
      <c r="T76" s="136"/>
      <c r="U76" s="136"/>
      <c r="V76" s="136"/>
      <c r="W76" s="136"/>
      <c r="X76" s="4"/>
      <c r="Y76" s="4"/>
      <c r="Z76" s="136"/>
      <c r="AA76" s="136"/>
      <c r="AB76" s="4"/>
    </row>
    <row r="77" spans="1:28" x14ac:dyDescent="0.2">
      <c r="A77" s="32" t="s">
        <v>48</v>
      </c>
      <c r="B77" s="32" t="s">
        <v>196</v>
      </c>
      <c r="C77" s="32" t="s">
        <v>38</v>
      </c>
      <c r="D77" s="32">
        <v>0.15526435794450399</v>
      </c>
      <c r="E77" s="32">
        <v>6.4394179856114994E-2</v>
      </c>
      <c r="F77" s="32">
        <v>0.15457521831742499</v>
      </c>
      <c r="G77" s="32">
        <v>0.25010303912642201</v>
      </c>
      <c r="H77" s="32">
        <v>0.154587313740805</v>
      </c>
      <c r="I77" s="32">
        <v>4.72983994868982E-2</v>
      </c>
      <c r="J77" s="32">
        <v>267.21890296523299</v>
      </c>
      <c r="K77" s="4"/>
      <c r="L77" s="49" t="s">
        <v>146</v>
      </c>
      <c r="M77" s="4" t="str">
        <f t="shared" si="8"/>
        <v>Mother's serostatus</v>
      </c>
      <c r="N77" s="4">
        <f t="shared" si="9"/>
        <v>11.384923530617398</v>
      </c>
      <c r="O77" s="4"/>
      <c r="P77" s="4"/>
      <c r="Q77" s="4"/>
      <c r="R77" s="4"/>
      <c r="S77" s="49"/>
      <c r="T77" s="136"/>
      <c r="U77" s="136"/>
      <c r="V77" s="136"/>
      <c r="W77" s="136"/>
      <c r="X77" s="4"/>
      <c r="Y77" s="49"/>
      <c r="Z77" s="136"/>
      <c r="AA77" s="136"/>
      <c r="AB77" s="4"/>
    </row>
    <row r="78" spans="1:28" x14ac:dyDescent="0.2">
      <c r="A78" s="32" t="s">
        <v>48</v>
      </c>
      <c r="B78" s="32" t="s">
        <v>196</v>
      </c>
      <c r="C78" s="32" t="s">
        <v>39</v>
      </c>
      <c r="D78" s="32">
        <v>1.5700201313429401</v>
      </c>
      <c r="E78" s="32">
        <v>0.68155064468284599</v>
      </c>
      <c r="F78" s="32">
        <v>1.56953259159331</v>
      </c>
      <c r="G78" s="32">
        <v>2.46155836171681</v>
      </c>
      <c r="H78" s="32">
        <v>1.5696305692775001</v>
      </c>
      <c r="I78" s="32">
        <v>0.45328313946691401</v>
      </c>
      <c r="J78" s="32">
        <v>267.21890296523299</v>
      </c>
      <c r="K78" s="4"/>
      <c r="L78" s="4"/>
      <c r="M78" s="4" t="str">
        <f t="shared" si="8"/>
        <v>Social vulnerability</v>
      </c>
      <c r="N78" s="4">
        <f t="shared" si="9"/>
        <v>16.056099820908003</v>
      </c>
      <c r="O78" s="134"/>
      <c r="P78" s="134"/>
      <c r="Q78" s="135"/>
      <c r="R78" s="4"/>
      <c r="S78" s="49"/>
      <c r="T78" s="136"/>
      <c r="U78" s="135"/>
      <c r="V78" s="135"/>
      <c r="W78" s="135"/>
      <c r="X78" s="4"/>
      <c r="Y78" s="4"/>
      <c r="Z78" s="136"/>
      <c r="AA78" s="136"/>
      <c r="AB78" s="4"/>
    </row>
    <row r="79" spans="1:28" x14ac:dyDescent="0.2">
      <c r="A79" s="32" t="s">
        <v>48</v>
      </c>
      <c r="B79" s="32" t="s">
        <v>196</v>
      </c>
      <c r="C79" s="32" t="s">
        <v>12</v>
      </c>
      <c r="D79" s="32">
        <v>0.15819025257522901</v>
      </c>
      <c r="E79" s="32">
        <v>-0.29184924354988401</v>
      </c>
      <c r="F79" s="32">
        <v>0.15749800402307301</v>
      </c>
      <c r="G79" s="32">
        <v>0.61246280219830096</v>
      </c>
      <c r="H79" s="32">
        <v>0.15758951237805199</v>
      </c>
      <c r="I79" s="32">
        <v>0.22998062350715601</v>
      </c>
      <c r="J79" s="32">
        <v>267.21890296523299</v>
      </c>
      <c r="K79" s="4"/>
      <c r="L79" s="4"/>
      <c r="M79" s="4" t="str">
        <f t="shared" si="8"/>
        <v>Host availability</v>
      </c>
      <c r="N79" s="4">
        <f t="shared" si="9"/>
        <v>20.30466404910382</v>
      </c>
      <c r="O79" s="4"/>
      <c r="P79" s="4"/>
      <c r="Q79" s="136"/>
      <c r="R79" s="4"/>
      <c r="S79" s="4"/>
      <c r="T79" s="136"/>
      <c r="U79" s="136"/>
      <c r="V79" s="136"/>
      <c r="W79" s="136"/>
      <c r="X79" s="4"/>
      <c r="Y79" s="4"/>
      <c r="Z79" s="136"/>
      <c r="AA79" s="136"/>
      <c r="AB79" s="4"/>
    </row>
    <row r="80" spans="1:28" x14ac:dyDescent="0.2">
      <c r="A80" s="32" t="s">
        <v>48</v>
      </c>
      <c r="B80" s="32" t="s">
        <v>196</v>
      </c>
      <c r="C80" s="32" t="s">
        <v>13</v>
      </c>
      <c r="D80" s="32">
        <v>-0.44859345642272502</v>
      </c>
      <c r="E80" s="32">
        <v>-1.07693095067505</v>
      </c>
      <c r="F80" s="32">
        <v>-0.45176479240404399</v>
      </c>
      <c r="G80" s="32">
        <v>0.19848866911662899</v>
      </c>
      <c r="H80" s="32">
        <v>-0.45153051407204903</v>
      </c>
      <c r="I80" s="32">
        <v>0.32404932997800601</v>
      </c>
      <c r="J80" s="32">
        <v>267.21890296523299</v>
      </c>
      <c r="K80" s="4"/>
      <c r="L80" s="4"/>
      <c r="M80" s="4" t="str">
        <f t="shared" si="8"/>
        <v>Infected vector abundance</v>
      </c>
      <c r="N80" s="4">
        <f t="shared" si="9"/>
        <v>-0.90906757765489132</v>
      </c>
      <c r="O80" s="4"/>
      <c r="P80" s="4"/>
      <c r="Q80" s="137"/>
      <c r="R80" s="4"/>
      <c r="S80" s="4"/>
      <c r="T80" s="136"/>
      <c r="U80" s="136"/>
      <c r="V80" s="136"/>
      <c r="W80" s="137"/>
      <c r="X80" s="4"/>
      <c r="Y80" s="4"/>
      <c r="Z80" s="139"/>
      <c r="AA80" s="136"/>
      <c r="AB80" s="4"/>
    </row>
    <row r="81" spans="1:28" x14ac:dyDescent="0.2">
      <c r="A81" s="32" t="s">
        <v>48</v>
      </c>
      <c r="B81" s="32" t="s">
        <v>196</v>
      </c>
      <c r="C81" s="32" t="s">
        <v>40</v>
      </c>
      <c r="D81" s="32">
        <v>0.40284459098255299</v>
      </c>
      <c r="E81" s="32">
        <v>0.19585328910300501</v>
      </c>
      <c r="F81" s="32">
        <v>0.40220942127238002</v>
      </c>
      <c r="G81" s="32">
        <v>0.61341207293660605</v>
      </c>
      <c r="H81" s="32">
        <v>0.40219929713580199</v>
      </c>
      <c r="I81" s="32">
        <v>0.10634997253631601</v>
      </c>
      <c r="J81" s="32">
        <v>267.21890296523299</v>
      </c>
      <c r="K81" s="4"/>
      <c r="L81" s="4"/>
      <c r="M81" s="4" t="str">
        <f t="shared" si="8"/>
        <v>Mobility</v>
      </c>
      <c r="N81" s="4">
        <f t="shared" si="9"/>
        <v>4.7339731537760272</v>
      </c>
      <c r="O81" s="4"/>
      <c r="P81" s="4"/>
      <c r="Q81" s="4"/>
      <c r="R81" s="4"/>
      <c r="S81" s="4"/>
      <c r="T81" s="4"/>
      <c r="U81" s="4"/>
      <c r="V81" s="4"/>
      <c r="W81" s="4"/>
      <c r="X81" s="4"/>
      <c r="Y81" s="4"/>
      <c r="Z81" s="139"/>
      <c r="AA81" s="136"/>
      <c r="AB81" s="4"/>
    </row>
    <row r="82" spans="1:28" x14ac:dyDescent="0.2">
      <c r="A82" s="32" t="s">
        <v>48</v>
      </c>
      <c r="B82" s="32" t="s">
        <v>196</v>
      </c>
      <c r="C82" s="32" t="s">
        <v>14</v>
      </c>
      <c r="D82" s="32">
        <v>-0.22923355272257601</v>
      </c>
      <c r="E82" s="32">
        <v>-1.1198722008767901</v>
      </c>
      <c r="F82" s="32">
        <v>-0.224780895335604</v>
      </c>
      <c r="G82" s="32">
        <v>0.63607003455933198</v>
      </c>
      <c r="H82" s="32">
        <v>-0.224794182088908</v>
      </c>
      <c r="I82" s="32">
        <v>0.44691663289753197</v>
      </c>
      <c r="J82" s="32">
        <v>267.21890296523299</v>
      </c>
      <c r="K82" s="4"/>
      <c r="L82" s="4"/>
      <c r="M82" s="4" t="str">
        <f t="shared" si="8"/>
        <v>Harmonic</v>
      </c>
      <c r="N82" s="4">
        <f t="shared" si="9"/>
        <v>11.975374914168873</v>
      </c>
      <c r="O82" s="4"/>
      <c r="P82" s="4"/>
      <c r="Q82" s="4"/>
      <c r="R82" s="4"/>
      <c r="S82" s="4"/>
      <c r="T82" s="4"/>
      <c r="U82" s="4"/>
      <c r="V82" s="4"/>
      <c r="W82" s="4"/>
      <c r="X82" s="4"/>
      <c r="Y82" s="4"/>
      <c r="Z82" s="4"/>
      <c r="AA82" s="4"/>
      <c r="AB82" s="4"/>
    </row>
    <row r="83" spans="1:28" x14ac:dyDescent="0.2">
      <c r="A83" s="32" t="s">
        <v>48</v>
      </c>
      <c r="B83" s="32" t="s">
        <v>196</v>
      </c>
      <c r="C83" s="32" t="s">
        <v>45</v>
      </c>
      <c r="D83" s="32">
        <v>8.2301359329430401E-3</v>
      </c>
      <c r="E83" s="32">
        <v>-0.182121209878983</v>
      </c>
      <c r="F83" s="32">
        <v>8.1855538018359292E-3</v>
      </c>
      <c r="G83" s="32">
        <v>0.19886294125985901</v>
      </c>
      <c r="H83" s="32">
        <v>8.1951532185537308E-3</v>
      </c>
      <c r="I83" s="32">
        <v>9.7015193551468107E-2</v>
      </c>
      <c r="J83" s="32">
        <v>267.21890296523299</v>
      </c>
      <c r="K83" s="4"/>
      <c r="L83" s="4"/>
      <c r="M83" s="4" t="str">
        <f t="shared" si="8"/>
        <v>mover:harmonic</v>
      </c>
      <c r="N83" s="4">
        <f t="shared" si="9"/>
        <v>8.2920086921410849</v>
      </c>
      <c r="O83" s="4"/>
      <c r="P83" s="4"/>
      <c r="Q83" s="4"/>
      <c r="R83" s="4"/>
      <c r="S83" s="4"/>
      <c r="T83" s="4"/>
      <c r="U83" s="4"/>
      <c r="V83" s="4"/>
      <c r="W83" s="4"/>
      <c r="X83" s="4"/>
      <c r="Y83" s="4"/>
      <c r="Z83" s="4"/>
      <c r="AA83" s="4"/>
      <c r="AB83" s="4"/>
    </row>
    <row r="84" spans="1:28" x14ac:dyDescent="0.2">
      <c r="A84" s="32" t="s">
        <v>48</v>
      </c>
      <c r="B84" s="32" t="s">
        <v>196</v>
      </c>
      <c r="C84" s="32" t="s">
        <v>19</v>
      </c>
      <c r="D84" s="32">
        <v>348.514084854408</v>
      </c>
      <c r="E84" s="32">
        <v>86.578523352633795</v>
      </c>
      <c r="F84" s="32">
        <v>282.47985576889403</v>
      </c>
      <c r="G84" s="32">
        <v>1008.70458764093</v>
      </c>
      <c r="H84" s="32">
        <v>190.73522078227199</v>
      </c>
      <c r="I84" s="32">
        <v>249.104644653462</v>
      </c>
      <c r="J84" s="32">
        <v>267.21890296523299</v>
      </c>
      <c r="K84" s="4"/>
      <c r="L84" s="4"/>
      <c r="M84" s="49" t="s">
        <v>201</v>
      </c>
      <c r="N84" s="49" t="s">
        <v>202</v>
      </c>
      <c r="O84" s="4"/>
      <c r="P84" s="4"/>
      <c r="Q84" s="4"/>
      <c r="R84" s="4"/>
      <c r="S84" s="4"/>
      <c r="T84" s="4"/>
      <c r="U84" s="4"/>
      <c r="V84" s="4"/>
      <c r="W84" s="4"/>
      <c r="X84" s="4"/>
      <c r="Y84" s="4"/>
      <c r="Z84" s="4"/>
      <c r="AA84" s="4"/>
      <c r="AB84" s="4"/>
    </row>
    <row r="85" spans="1:28" x14ac:dyDescent="0.2">
      <c r="A85" s="32" t="s">
        <v>48</v>
      </c>
      <c r="B85" s="32" t="s">
        <v>196</v>
      </c>
      <c r="C85" s="32" t="s">
        <v>20</v>
      </c>
      <c r="D85" s="32">
        <v>2.03969090409191</v>
      </c>
      <c r="E85" s="32">
        <v>0.68487425457073503</v>
      </c>
      <c r="F85" s="32">
        <v>1.8458336062171801</v>
      </c>
      <c r="G85" s="32">
        <v>4.5106072219998499</v>
      </c>
      <c r="H85" s="32">
        <v>1.4906750097410699</v>
      </c>
      <c r="I85" s="32">
        <v>0.99721478094472604</v>
      </c>
      <c r="J85" s="32">
        <v>267.21890296523299</v>
      </c>
      <c r="K85" s="4"/>
      <c r="L85" s="4"/>
      <c r="M85" s="49" t="s">
        <v>53</v>
      </c>
      <c r="N85" s="49" t="str">
        <f>CONCATENATE(ROUND((J66-J67)/J66*100,1), "%")</f>
        <v>3.6%</v>
      </c>
      <c r="O85" s="4"/>
      <c r="P85" s="4"/>
      <c r="Q85" s="4"/>
      <c r="R85" s="4"/>
      <c r="S85" s="4"/>
      <c r="T85" s="4"/>
      <c r="U85" s="4"/>
      <c r="V85" s="4"/>
      <c r="W85" s="4"/>
      <c r="X85" s="4"/>
      <c r="Y85" s="4"/>
      <c r="Z85" s="4"/>
      <c r="AA85" s="4"/>
      <c r="AB85" s="4"/>
    </row>
    <row r="86" spans="1:28" x14ac:dyDescent="0.2">
      <c r="A86" s="32" t="s">
        <v>49</v>
      </c>
      <c r="B86" s="32" t="s">
        <v>197</v>
      </c>
      <c r="C86" s="32" t="s">
        <v>38</v>
      </c>
      <c r="D86" s="32">
        <v>0.13932828798321001</v>
      </c>
      <c r="E86" s="32">
        <v>5.3644896246010397E-2</v>
      </c>
      <c r="F86" s="32">
        <v>0.13932828798321001</v>
      </c>
      <c r="G86" s="32">
        <v>0.22501167972041</v>
      </c>
      <c r="H86" s="32">
        <v>0.13932828798321001</v>
      </c>
      <c r="I86" s="32">
        <v>4.3716819499266098E-2</v>
      </c>
      <c r="J86" s="32">
        <v>262.57612489703502</v>
      </c>
      <c r="K86" s="5"/>
      <c r="L86" s="50" t="s">
        <v>179</v>
      </c>
      <c r="M86" s="142"/>
      <c r="N86" s="142"/>
      <c r="O86" s="5"/>
      <c r="P86" s="5"/>
      <c r="Q86" s="5"/>
      <c r="R86" s="5"/>
      <c r="S86" s="5"/>
      <c r="T86" s="5"/>
      <c r="U86" s="5"/>
      <c r="V86" s="5"/>
      <c r="W86" s="5"/>
      <c r="X86" s="5"/>
      <c r="Y86" s="5"/>
      <c r="Z86" s="5"/>
      <c r="AA86" s="5"/>
      <c r="AB86" s="5"/>
    </row>
    <row r="87" spans="1:28" x14ac:dyDescent="0.2">
      <c r="A87" s="32" t="s">
        <v>49</v>
      </c>
      <c r="B87" s="32" t="s">
        <v>197</v>
      </c>
      <c r="C87" s="32" t="s">
        <v>39</v>
      </c>
      <c r="D87" s="32">
        <v>1.5899897618865899</v>
      </c>
      <c r="E87" s="32">
        <v>0.76655273715431105</v>
      </c>
      <c r="F87" s="32">
        <v>1.5899897618865899</v>
      </c>
      <c r="G87" s="32">
        <v>2.4134267866188601</v>
      </c>
      <c r="H87" s="32">
        <v>1.5899897618865899</v>
      </c>
      <c r="I87" s="32">
        <v>0.42012865094840701</v>
      </c>
      <c r="J87" s="32">
        <v>262.57612489703502</v>
      </c>
      <c r="K87" s="5"/>
      <c r="L87" s="50" t="s">
        <v>180</v>
      </c>
      <c r="M87" s="142" t="str">
        <f t="shared" ref="M87:M102" si="10">C86</f>
        <v>Age</v>
      </c>
      <c r="N87" s="142">
        <f t="shared" ref="N87:N102" si="11">G86-E86</f>
        <v>0.1713667834743996</v>
      </c>
      <c r="O87" s="5"/>
      <c r="P87" s="5"/>
      <c r="Q87" s="5"/>
      <c r="R87" s="5"/>
      <c r="S87" s="5"/>
      <c r="T87" s="5"/>
      <c r="U87" s="5"/>
      <c r="V87" s="5"/>
      <c r="W87" s="5"/>
      <c r="X87" s="5"/>
      <c r="Y87" s="5"/>
      <c r="Z87" s="5"/>
      <c r="AA87" s="5"/>
      <c r="AB87" s="5"/>
    </row>
    <row r="88" spans="1:28" x14ac:dyDescent="0.2">
      <c r="A88" s="32" t="s">
        <v>49</v>
      </c>
      <c r="B88" s="32" t="s">
        <v>197</v>
      </c>
      <c r="C88" s="32" t="s">
        <v>12</v>
      </c>
      <c r="D88" s="32">
        <v>0.170708567565167</v>
      </c>
      <c r="E88" s="32">
        <v>-0.25585148723102202</v>
      </c>
      <c r="F88" s="32">
        <v>0.170708567565167</v>
      </c>
      <c r="G88" s="32">
        <v>0.59726862236135503</v>
      </c>
      <c r="H88" s="32">
        <v>0.170708567565167</v>
      </c>
      <c r="I88" s="32">
        <v>0.21763668014353299</v>
      </c>
      <c r="J88" s="32">
        <v>262.57612489703502</v>
      </c>
      <c r="K88" s="5"/>
      <c r="L88" s="142"/>
      <c r="M88" s="142" t="str">
        <f t="shared" si="10"/>
        <v>Mother's serostatus</v>
      </c>
      <c r="N88" s="142">
        <f t="shared" si="11"/>
        <v>1.6468740494645491</v>
      </c>
      <c r="O88" s="5"/>
      <c r="P88" s="5"/>
      <c r="Q88" s="5"/>
      <c r="R88" s="5"/>
      <c r="S88" s="5"/>
      <c r="T88" s="5"/>
      <c r="U88" s="5"/>
      <c r="V88" s="5"/>
      <c r="W88" s="5"/>
      <c r="X88" s="5"/>
      <c r="Y88" s="5"/>
      <c r="Z88" s="5"/>
      <c r="AA88" s="5"/>
      <c r="AB88" s="5"/>
    </row>
    <row r="89" spans="1:28" x14ac:dyDescent="0.2">
      <c r="A89" s="32" t="s">
        <v>49</v>
      </c>
      <c r="B89" s="32" t="s">
        <v>197</v>
      </c>
      <c r="C89" s="32" t="s">
        <v>13</v>
      </c>
      <c r="D89" s="32">
        <v>-0.74765615632708404</v>
      </c>
      <c r="E89" s="32">
        <v>-1.3097385162624</v>
      </c>
      <c r="F89" s="32">
        <v>-0.74765615632708404</v>
      </c>
      <c r="G89" s="32">
        <v>-0.18557379639176599</v>
      </c>
      <c r="H89" s="32">
        <v>-0.74765615632708404</v>
      </c>
      <c r="I89" s="32">
        <v>0.28678198393896698</v>
      </c>
      <c r="J89" s="32">
        <v>262.57612489703502</v>
      </c>
      <c r="K89" s="5"/>
      <c r="L89" s="142"/>
      <c r="M89" s="142" t="str">
        <f t="shared" si="10"/>
        <v>Social vulnerability</v>
      </c>
      <c r="N89" s="142">
        <f t="shared" si="11"/>
        <v>0.85312010959237705</v>
      </c>
      <c r="O89" s="5"/>
      <c r="P89" s="5"/>
      <c r="Q89" s="5"/>
      <c r="R89" s="5"/>
      <c r="S89" s="5"/>
      <c r="T89" s="5"/>
      <c r="U89" s="5"/>
      <c r="V89" s="5"/>
      <c r="W89" s="5"/>
      <c r="X89" s="5"/>
      <c r="Y89" s="5"/>
      <c r="Z89" s="5"/>
      <c r="AA89" s="5"/>
      <c r="AB89" s="5"/>
    </row>
    <row r="90" spans="1:28" x14ac:dyDescent="0.2">
      <c r="A90" s="32" t="s">
        <v>49</v>
      </c>
      <c r="B90" s="32" t="s">
        <v>197</v>
      </c>
      <c r="C90" s="32" t="s">
        <v>40</v>
      </c>
      <c r="D90" s="32">
        <v>1.3652226828835801</v>
      </c>
      <c r="E90" s="32">
        <v>0.79278414000898001</v>
      </c>
      <c r="F90" s="32">
        <v>1.3652226828835801</v>
      </c>
      <c r="G90" s="32">
        <v>1.93766122575818</v>
      </c>
      <c r="H90" s="32">
        <v>1.3652226828835801</v>
      </c>
      <c r="I90" s="32">
        <v>0.29206584783695999</v>
      </c>
      <c r="J90" s="32">
        <v>262.57612489703502</v>
      </c>
      <c r="K90" s="5"/>
      <c r="L90" s="142"/>
      <c r="M90" s="142" t="str">
        <f t="shared" si="10"/>
        <v>Host availability</v>
      </c>
      <c r="N90" s="142">
        <f t="shared" si="11"/>
        <v>1.1241647198706339</v>
      </c>
      <c r="O90" s="5"/>
      <c r="P90" s="5"/>
      <c r="Q90" s="5"/>
      <c r="R90" s="5"/>
      <c r="S90" s="5"/>
      <c r="T90" s="5"/>
      <c r="U90" s="5"/>
      <c r="V90" s="5"/>
      <c r="W90" s="5"/>
      <c r="X90" s="5"/>
      <c r="Y90" s="5"/>
      <c r="Z90" s="5"/>
      <c r="AA90" s="5"/>
      <c r="AB90" s="5"/>
    </row>
    <row r="91" spans="1:28" x14ac:dyDescent="0.2">
      <c r="A91" s="32" t="s">
        <v>49</v>
      </c>
      <c r="B91" s="32" t="s">
        <v>197</v>
      </c>
      <c r="C91" s="32" t="s">
        <v>14</v>
      </c>
      <c r="D91" s="32">
        <v>-7.7188639182074095E-2</v>
      </c>
      <c r="E91" s="32">
        <v>-0.86975777086139305</v>
      </c>
      <c r="F91" s="32">
        <v>-7.7188639182074095E-2</v>
      </c>
      <c r="G91" s="32">
        <v>0.715380492497245</v>
      </c>
      <c r="H91" s="32">
        <v>-7.7188639182074095E-2</v>
      </c>
      <c r="I91" s="32">
        <v>0.40437943652587699</v>
      </c>
      <c r="J91" s="32">
        <v>262.57612489703502</v>
      </c>
      <c r="K91" s="5"/>
      <c r="L91" s="142"/>
      <c r="M91" s="142" t="str">
        <f t="shared" si="10"/>
        <v>Infected vector abundance</v>
      </c>
      <c r="N91" s="142">
        <f t="shared" si="11"/>
        <v>1.1448770857491999</v>
      </c>
      <c r="O91" s="5"/>
      <c r="P91" s="5"/>
      <c r="Q91" s="5"/>
      <c r="R91" s="5"/>
      <c r="S91" s="5"/>
      <c r="T91" s="5"/>
      <c r="U91" s="5"/>
      <c r="V91" s="5"/>
      <c r="W91" s="5"/>
      <c r="X91" s="5"/>
      <c r="Y91" s="5"/>
      <c r="Z91" s="5"/>
      <c r="AA91" s="5"/>
      <c r="AB91" s="5"/>
    </row>
    <row r="92" spans="1:28" x14ac:dyDescent="0.2">
      <c r="A92" s="32" t="s">
        <v>49</v>
      </c>
      <c r="B92" s="32" t="s">
        <v>197</v>
      </c>
      <c r="C92" s="32" t="s">
        <v>45</v>
      </c>
      <c r="D92" s="32">
        <v>0.17171546936669299</v>
      </c>
      <c r="E92" s="32">
        <v>-1.7146179562685899E-2</v>
      </c>
      <c r="F92" s="32">
        <v>0.17171546936669299</v>
      </c>
      <c r="G92" s="32">
        <v>0.36057711829607098</v>
      </c>
      <c r="H92" s="32">
        <v>0.17171546936669299</v>
      </c>
      <c r="I92" s="32">
        <v>9.6359754780748694E-2</v>
      </c>
      <c r="J92" s="32">
        <v>262.57612489703502</v>
      </c>
      <c r="K92" s="5"/>
      <c r="L92" s="142"/>
      <c r="M92" s="142" t="str">
        <f t="shared" si="10"/>
        <v>Mobility</v>
      </c>
      <c r="N92" s="142">
        <f t="shared" si="11"/>
        <v>1.5851382633586382</v>
      </c>
      <c r="O92" s="5"/>
      <c r="P92" s="5"/>
      <c r="Q92" s="5"/>
      <c r="R92" s="5"/>
      <c r="S92" s="5"/>
      <c r="T92" s="5"/>
      <c r="U92" s="5"/>
      <c r="V92" s="5"/>
      <c r="W92" s="5"/>
      <c r="X92" s="5"/>
      <c r="Y92" s="5"/>
      <c r="Z92" s="5"/>
      <c r="AA92" s="5"/>
      <c r="AB92" s="5"/>
    </row>
    <row r="93" spans="1:28" x14ac:dyDescent="0.2">
      <c r="A93" s="32" t="s">
        <v>49</v>
      </c>
      <c r="B93" s="32" t="s">
        <v>197</v>
      </c>
      <c r="C93" s="32" t="s">
        <v>50</v>
      </c>
      <c r="D93" s="32">
        <v>-0.26656182148815999</v>
      </c>
      <c r="E93" s="32">
        <v>-0.39812023942998498</v>
      </c>
      <c r="F93" s="32">
        <v>-0.26656182148815999</v>
      </c>
      <c r="G93" s="32">
        <v>-0.135003403546335</v>
      </c>
      <c r="H93" s="32">
        <v>-0.26656182148815999</v>
      </c>
      <c r="I93" s="32">
        <v>6.7122875205637103E-2</v>
      </c>
      <c r="J93" s="32">
        <v>262.57612489703502</v>
      </c>
      <c r="K93" s="5"/>
      <c r="L93" s="142"/>
      <c r="M93" s="142" t="str">
        <f t="shared" si="10"/>
        <v>Harmonic</v>
      </c>
      <c r="N93" s="142">
        <f t="shared" si="11"/>
        <v>0.37772329785875686</v>
      </c>
      <c r="O93" s="5"/>
      <c r="P93" s="5"/>
      <c r="Q93" s="5"/>
      <c r="R93" s="5"/>
      <c r="S93" s="5"/>
      <c r="T93" s="5"/>
      <c r="U93" s="5"/>
      <c r="V93" s="5"/>
      <c r="W93" s="5"/>
      <c r="X93" s="5"/>
      <c r="Y93" s="5"/>
      <c r="Z93" s="5"/>
      <c r="AA93" s="5"/>
      <c r="AB93" s="5"/>
    </row>
    <row r="94" spans="1:28" x14ac:dyDescent="0.2">
      <c r="A94" s="107" t="s">
        <v>51</v>
      </c>
      <c r="B94" s="107" t="s">
        <v>198</v>
      </c>
      <c r="C94" s="107" t="s">
        <v>38</v>
      </c>
      <c r="D94" s="107">
        <v>0.156669446302628</v>
      </c>
      <c r="E94" s="107">
        <v>6.4843225988536299E-2</v>
      </c>
      <c r="F94" s="107">
        <v>0.15616052104311801</v>
      </c>
      <c r="G94" s="107">
        <v>0.25142288309338101</v>
      </c>
      <c r="H94" s="107">
        <v>0.156167487692491</v>
      </c>
      <c r="I94" s="107">
        <v>4.75299229806391E-2</v>
      </c>
      <c r="J94" s="107">
        <v>257.17992202123003</v>
      </c>
      <c r="K94" s="5"/>
      <c r="L94" s="142"/>
      <c r="M94" s="142" t="str">
        <f t="shared" si="10"/>
        <v>iva:harmonic</v>
      </c>
      <c r="N94" s="142">
        <f t="shared" si="11"/>
        <v>0.26311683588364998</v>
      </c>
      <c r="O94" s="5"/>
      <c r="P94" s="5"/>
      <c r="Q94" s="5"/>
      <c r="R94" s="5"/>
      <c r="S94" s="5"/>
      <c r="T94" s="5"/>
      <c r="U94" s="5"/>
      <c r="V94" s="5"/>
      <c r="W94" s="5"/>
      <c r="X94" s="5"/>
      <c r="Y94" s="5"/>
      <c r="Z94" s="5"/>
      <c r="AA94" s="5"/>
      <c r="AB94" s="5"/>
    </row>
    <row r="95" spans="1:28" x14ac:dyDescent="0.2">
      <c r="A95" s="107" t="s">
        <v>51</v>
      </c>
      <c r="B95" s="107" t="s">
        <v>198</v>
      </c>
      <c r="C95" s="107" t="s">
        <v>39</v>
      </c>
      <c r="D95" s="107">
        <v>1.4630016022912</v>
      </c>
      <c r="E95" s="107">
        <v>0.55249765882615798</v>
      </c>
      <c r="F95" s="107">
        <v>1.46642444332663</v>
      </c>
      <c r="G95" s="107">
        <v>2.3540716696955801</v>
      </c>
      <c r="H95" s="107">
        <v>1.46644419209078</v>
      </c>
      <c r="I95" s="107">
        <v>0.45896147971763801</v>
      </c>
      <c r="J95" s="107">
        <v>257.17992202123003</v>
      </c>
      <c r="K95" s="5"/>
      <c r="L95" s="50" t="s">
        <v>181</v>
      </c>
      <c r="M95" s="142" t="str">
        <f t="shared" si="10"/>
        <v>Age</v>
      </c>
      <c r="N95" s="142">
        <f t="shared" si="11"/>
        <v>0.1865796571048447</v>
      </c>
      <c r="O95" s="5"/>
      <c r="P95" s="5"/>
      <c r="Q95" s="5"/>
      <c r="R95" s="5"/>
      <c r="S95" s="5"/>
      <c r="T95" s="5"/>
      <c r="U95" s="5"/>
      <c r="V95" s="5"/>
      <c r="W95" s="5"/>
      <c r="X95" s="5"/>
      <c r="Y95" s="5"/>
      <c r="Z95" s="5"/>
      <c r="AA95" s="5"/>
      <c r="AB95" s="5"/>
    </row>
    <row r="96" spans="1:28" x14ac:dyDescent="0.2">
      <c r="A96" s="107" t="s">
        <v>51</v>
      </c>
      <c r="B96" s="107" t="s">
        <v>198</v>
      </c>
      <c r="C96" s="107" t="s">
        <v>12</v>
      </c>
      <c r="D96" s="107">
        <v>0.13826461789646699</v>
      </c>
      <c r="E96" s="107">
        <v>-0.32593815388953001</v>
      </c>
      <c r="F96" s="107">
        <v>0.13874877090620799</v>
      </c>
      <c r="G96" s="107">
        <v>0.59978754601686302</v>
      </c>
      <c r="H96" s="107">
        <v>0.13877712134172801</v>
      </c>
      <c r="I96" s="107">
        <v>0.23572700825364301</v>
      </c>
      <c r="J96" s="107">
        <v>257.17992202123003</v>
      </c>
      <c r="K96" s="5"/>
      <c r="L96" s="142"/>
      <c r="M96" s="142" t="str">
        <f t="shared" si="10"/>
        <v>Mother's serostatus</v>
      </c>
      <c r="N96" s="142">
        <f t="shared" si="11"/>
        <v>1.8015740108694223</v>
      </c>
      <c r="O96" s="5"/>
      <c r="P96" s="5"/>
      <c r="Q96" s="5"/>
      <c r="R96" s="5"/>
      <c r="S96" s="5"/>
      <c r="T96" s="5"/>
      <c r="U96" s="5"/>
      <c r="V96" s="5"/>
      <c r="W96" s="5"/>
      <c r="X96" s="5"/>
      <c r="Y96" s="5"/>
      <c r="Z96" s="5"/>
      <c r="AA96" s="5"/>
      <c r="AB96" s="5"/>
    </row>
    <row r="97" spans="1:28" x14ac:dyDescent="0.2">
      <c r="A97" s="107" t="s">
        <v>51</v>
      </c>
      <c r="B97" s="107" t="s">
        <v>198</v>
      </c>
      <c r="C97" s="107" t="s">
        <v>13</v>
      </c>
      <c r="D97" s="107">
        <v>-0.78014428503002398</v>
      </c>
      <c r="E97" s="107">
        <v>-1.4273796838450801</v>
      </c>
      <c r="F97" s="107">
        <v>-0.77931760941926997</v>
      </c>
      <c r="G97" s="107">
        <v>-0.13738403178219599</v>
      </c>
      <c r="H97" s="107">
        <v>-0.77923980010640503</v>
      </c>
      <c r="I97" s="107">
        <v>0.32792833458559001</v>
      </c>
      <c r="J97" s="107">
        <v>257.17992202123003</v>
      </c>
      <c r="K97" s="5"/>
      <c r="L97" s="50"/>
      <c r="M97" s="142" t="str">
        <f t="shared" si="10"/>
        <v>Social vulnerability</v>
      </c>
      <c r="N97" s="142">
        <f t="shared" si="11"/>
        <v>0.92572569990639297</v>
      </c>
      <c r="O97" s="5"/>
      <c r="P97" s="5"/>
      <c r="Q97" s="5"/>
      <c r="R97" s="5"/>
      <c r="S97" s="5"/>
      <c r="T97" s="5"/>
      <c r="U97" s="5"/>
      <c r="V97" s="5"/>
      <c r="W97" s="5"/>
      <c r="X97" s="5"/>
      <c r="Y97" s="5"/>
      <c r="Z97" s="5"/>
      <c r="AA97" s="5"/>
      <c r="AB97" s="5"/>
    </row>
    <row r="98" spans="1:28" x14ac:dyDescent="0.2">
      <c r="A98" s="107" t="s">
        <v>51</v>
      </c>
      <c r="B98" s="107" t="s">
        <v>198</v>
      </c>
      <c r="C98" s="107" t="s">
        <v>40</v>
      </c>
      <c r="D98" s="107">
        <v>1.46118296896505</v>
      </c>
      <c r="E98" s="107">
        <v>0.811006805401282</v>
      </c>
      <c r="F98" s="107">
        <v>1.4515858077346599</v>
      </c>
      <c r="G98" s="107">
        <v>2.16873807397831</v>
      </c>
      <c r="H98" s="107">
        <v>1.4524063345903</v>
      </c>
      <c r="I98" s="107">
        <v>0.34438703519074798</v>
      </c>
      <c r="J98" s="107">
        <v>257.17992202123003</v>
      </c>
      <c r="K98" s="5"/>
      <c r="L98" s="50"/>
      <c r="M98" s="142" t="str">
        <f t="shared" si="10"/>
        <v>Host availability</v>
      </c>
      <c r="N98" s="142">
        <f t="shared" si="11"/>
        <v>1.2899956520628841</v>
      </c>
      <c r="O98" s="5"/>
      <c r="P98" s="5"/>
      <c r="Q98" s="5"/>
      <c r="R98" s="5"/>
      <c r="S98" s="5"/>
      <c r="T98" s="5"/>
      <c r="U98" s="5"/>
      <c r="V98" s="5"/>
      <c r="W98" s="5"/>
      <c r="X98" s="5"/>
      <c r="Y98" s="5"/>
      <c r="Z98" s="5"/>
      <c r="AA98" s="5"/>
      <c r="AB98" s="5"/>
    </row>
    <row r="99" spans="1:28" x14ac:dyDescent="0.2">
      <c r="A99" s="107" t="s">
        <v>51</v>
      </c>
      <c r="B99" s="107" t="s">
        <v>198</v>
      </c>
      <c r="C99" s="107" t="s">
        <v>14</v>
      </c>
      <c r="D99" s="107">
        <v>-0.18383410375349499</v>
      </c>
      <c r="E99" s="107">
        <v>-1.0749785229103901</v>
      </c>
      <c r="F99" s="107">
        <v>-0.18007228237136699</v>
      </c>
      <c r="G99" s="107">
        <v>0.68585474344463004</v>
      </c>
      <c r="H99" s="107">
        <v>-0.180081947493443</v>
      </c>
      <c r="I99" s="107">
        <v>0.44831052061496002</v>
      </c>
      <c r="J99" s="107">
        <v>257.17992202123003</v>
      </c>
      <c r="K99" s="5"/>
      <c r="L99" s="50"/>
      <c r="M99" s="142" t="str">
        <f t="shared" si="10"/>
        <v>Infected vector abundance</v>
      </c>
      <c r="N99" s="142">
        <f t="shared" si="11"/>
        <v>1.357731268577028</v>
      </c>
      <c r="O99" s="5"/>
      <c r="P99" s="5"/>
      <c r="Q99" s="5"/>
      <c r="R99" s="5"/>
      <c r="S99" s="50"/>
      <c r="T99" s="5"/>
      <c r="U99" s="5"/>
      <c r="V99" s="5"/>
      <c r="W99" s="141"/>
      <c r="X99" s="5"/>
      <c r="Y99" s="50"/>
      <c r="Z99" s="5"/>
      <c r="AA99" s="5"/>
      <c r="AB99" s="5"/>
    </row>
    <row r="100" spans="1:28" x14ac:dyDescent="0.2">
      <c r="A100" s="107" t="s">
        <v>51</v>
      </c>
      <c r="B100" s="107" t="s">
        <v>198</v>
      </c>
      <c r="C100" s="107" t="s">
        <v>45</v>
      </c>
      <c r="D100" s="107">
        <v>0.17209659019701401</v>
      </c>
      <c r="E100" s="107">
        <v>-2.84194086556992E-2</v>
      </c>
      <c r="F100" s="107">
        <v>0.171821181130968</v>
      </c>
      <c r="G100" s="107">
        <v>0.37425702595921301</v>
      </c>
      <c r="H100" s="107">
        <v>0.171846186955009</v>
      </c>
      <c r="I100" s="107">
        <v>0.10255460293457599</v>
      </c>
      <c r="J100" s="107">
        <v>257.17992202123003</v>
      </c>
      <c r="K100" s="5"/>
      <c r="L100" s="50"/>
      <c r="M100" s="142" t="str">
        <f t="shared" si="10"/>
        <v>Mobility</v>
      </c>
      <c r="N100" s="142">
        <f t="shared" si="11"/>
        <v>1.7608332663550201</v>
      </c>
      <c r="O100" s="143"/>
      <c r="P100" s="143"/>
      <c r="Q100" s="144"/>
      <c r="R100" s="5"/>
      <c r="S100" s="50"/>
      <c r="T100" s="141"/>
      <c r="U100" s="144"/>
      <c r="V100" s="144"/>
      <c r="W100" s="144"/>
      <c r="X100" s="5"/>
      <c r="Y100" s="5"/>
      <c r="Z100" s="141"/>
      <c r="AA100" s="141"/>
      <c r="AB100" s="5"/>
    </row>
    <row r="101" spans="1:28" x14ac:dyDescent="0.2">
      <c r="A101" s="107" t="s">
        <v>51</v>
      </c>
      <c r="B101" s="107" t="s">
        <v>198</v>
      </c>
      <c r="C101" s="107" t="s">
        <v>50</v>
      </c>
      <c r="D101" s="107">
        <v>-0.28714338635279302</v>
      </c>
      <c r="E101" s="107">
        <v>-0.44479152124638599</v>
      </c>
      <c r="F101" s="107">
        <v>-0.28550924488644802</v>
      </c>
      <c r="G101" s="107">
        <v>-0.13918002775551699</v>
      </c>
      <c r="H101" s="107">
        <v>-0.28562582122269498</v>
      </c>
      <c r="I101" s="107">
        <v>7.7609039575604902E-2</v>
      </c>
      <c r="J101" s="107">
        <v>257.17992202123003</v>
      </c>
      <c r="K101" s="5"/>
      <c r="L101" s="50" t="s">
        <v>146</v>
      </c>
      <c r="M101" s="142" t="str">
        <f t="shared" si="10"/>
        <v>Harmonic</v>
      </c>
      <c r="N101" s="142">
        <f t="shared" si="11"/>
        <v>0.4026764346149122</v>
      </c>
      <c r="O101" s="5"/>
      <c r="P101" s="5"/>
      <c r="Q101" s="141"/>
      <c r="R101" s="5"/>
      <c r="S101" s="5"/>
      <c r="T101" s="141"/>
      <c r="U101" s="141"/>
      <c r="V101" s="141"/>
      <c r="W101" s="141"/>
      <c r="X101" s="5"/>
      <c r="Y101" s="5"/>
      <c r="Z101" s="141"/>
      <c r="AA101" s="141"/>
      <c r="AB101" s="5"/>
    </row>
    <row r="102" spans="1:28" x14ac:dyDescent="0.2">
      <c r="A102" s="107" t="s">
        <v>51</v>
      </c>
      <c r="B102" s="107" t="s">
        <v>198</v>
      </c>
      <c r="C102" s="107" t="s">
        <v>19</v>
      </c>
      <c r="D102" s="107">
        <v>588.707561071898</v>
      </c>
      <c r="E102" s="107">
        <v>58.950182157461199</v>
      </c>
      <c r="F102" s="107">
        <v>389.70062404203497</v>
      </c>
      <c r="G102" s="107">
        <v>2325.3713521411701</v>
      </c>
      <c r="H102" s="107">
        <v>158.829810467588</v>
      </c>
      <c r="I102" s="107">
        <v>662.76115560147605</v>
      </c>
      <c r="J102" s="107">
        <v>257.17992202123003</v>
      </c>
      <c r="K102" s="5"/>
      <c r="L102" s="50" t="s">
        <v>146</v>
      </c>
      <c r="M102" s="142" t="str">
        <f t="shared" si="10"/>
        <v>iva:harmonic</v>
      </c>
      <c r="N102" s="142">
        <f t="shared" si="11"/>
        <v>0.30561149349086902</v>
      </c>
      <c r="O102" s="5"/>
      <c r="P102" s="5"/>
      <c r="Q102" s="141"/>
      <c r="R102" s="5"/>
      <c r="S102" s="5"/>
      <c r="T102" s="141"/>
      <c r="U102" s="141"/>
      <c r="V102" s="141"/>
      <c r="W102" s="145"/>
      <c r="X102" s="5"/>
      <c r="Y102" s="146"/>
      <c r="Z102" s="141"/>
      <c r="AA102" s="141"/>
      <c r="AB102" s="5"/>
    </row>
    <row r="103" spans="1:28" x14ac:dyDescent="0.2">
      <c r="A103" s="107" t="s">
        <v>51</v>
      </c>
      <c r="B103" s="107" t="s">
        <v>198</v>
      </c>
      <c r="C103" s="107" t="s">
        <v>20</v>
      </c>
      <c r="D103" s="107">
        <v>1.5216737437816501</v>
      </c>
      <c r="E103" s="107">
        <v>0.45980282475092499</v>
      </c>
      <c r="F103" s="107">
        <v>1.3261837744729399</v>
      </c>
      <c r="G103" s="107">
        <v>3.7327641306033099</v>
      </c>
      <c r="H103" s="107">
        <v>1.00232951754888</v>
      </c>
      <c r="I103" s="107">
        <v>0.86181538080797104</v>
      </c>
      <c r="J103" s="107">
        <v>257.17992202123003</v>
      </c>
      <c r="K103" s="5"/>
      <c r="L103" s="50" t="s">
        <v>182</v>
      </c>
      <c r="M103" s="142" t="str">
        <f t="shared" ref="M103:M110" si="12">C94</f>
        <v>Age</v>
      </c>
      <c r="N103" s="142">
        <f t="shared" ref="N103:N110" si="13">(N95-N87)/N87*100</f>
        <v>8.8773759546684516</v>
      </c>
      <c r="O103" s="5"/>
      <c r="P103" s="5"/>
      <c r="Q103" s="141"/>
      <c r="R103" s="5"/>
      <c r="S103" s="5"/>
      <c r="T103" s="141"/>
      <c r="U103" s="141"/>
      <c r="V103" s="141"/>
      <c r="W103" s="145"/>
      <c r="X103" s="5"/>
      <c r="Y103" s="146"/>
      <c r="Z103" s="141"/>
      <c r="AA103" s="141"/>
      <c r="AB103" s="5"/>
    </row>
    <row r="104" spans="1:28" x14ac:dyDescent="0.2">
      <c r="A104" s="32" t="s">
        <v>52</v>
      </c>
      <c r="B104" s="32" t="s">
        <v>196</v>
      </c>
      <c r="C104" s="32" t="s">
        <v>38</v>
      </c>
      <c r="D104" s="32">
        <v>0.155264248553354</v>
      </c>
      <c r="E104" s="32">
        <v>6.4394134059672897E-2</v>
      </c>
      <c r="F104" s="32">
        <v>0.15457512061898099</v>
      </c>
      <c r="G104" s="32">
        <v>0.250102797509346</v>
      </c>
      <c r="H104" s="32">
        <v>0.15458721528807401</v>
      </c>
      <c r="I104" s="32">
        <v>4.7298350285901299E-2</v>
      </c>
      <c r="J104" s="32">
        <v>267.21894972057203</v>
      </c>
      <c r="K104" s="5"/>
      <c r="L104" s="50" t="s">
        <v>146</v>
      </c>
      <c r="M104" s="142" t="str">
        <f t="shared" si="12"/>
        <v>Mother's serostatus</v>
      </c>
      <c r="N104" s="142">
        <f t="shared" si="13"/>
        <v>9.3935514652848546</v>
      </c>
      <c r="O104" s="5"/>
      <c r="P104" s="5"/>
      <c r="Q104" s="141"/>
      <c r="R104" s="5"/>
      <c r="S104" s="5"/>
      <c r="T104" s="141"/>
      <c r="U104" s="141"/>
      <c r="V104" s="141"/>
      <c r="W104" s="145"/>
      <c r="X104" s="5"/>
      <c r="Y104" s="5"/>
      <c r="Z104" s="141"/>
      <c r="AA104" s="141"/>
      <c r="AB104" s="5"/>
    </row>
    <row r="105" spans="1:28" x14ac:dyDescent="0.2">
      <c r="A105" s="32" t="s">
        <v>52</v>
      </c>
      <c r="B105" s="32" t="s">
        <v>196</v>
      </c>
      <c r="C105" s="32" t="s">
        <v>39</v>
      </c>
      <c r="D105" s="32">
        <v>1.5700169933021799</v>
      </c>
      <c r="E105" s="32">
        <v>0.68154750126602204</v>
      </c>
      <c r="F105" s="32">
        <v>1.5695295081293801</v>
      </c>
      <c r="G105" s="32">
        <v>2.46155490872016</v>
      </c>
      <c r="H105" s="32">
        <v>1.56962748173195</v>
      </c>
      <c r="I105" s="32">
        <v>0.45328306832899901</v>
      </c>
      <c r="J105" s="32">
        <v>267.21894972057203</v>
      </c>
      <c r="K105" s="5"/>
      <c r="L105" s="142"/>
      <c r="M105" s="142" t="str">
        <f t="shared" si="12"/>
        <v>Social vulnerability</v>
      </c>
      <c r="N105" s="142">
        <f t="shared" si="13"/>
        <v>8.5105941704629444</v>
      </c>
      <c r="O105" s="5"/>
      <c r="P105" s="5"/>
      <c r="Q105" s="141"/>
      <c r="R105" s="5"/>
      <c r="S105" s="5"/>
      <c r="T105" s="141"/>
      <c r="U105" s="141"/>
      <c r="V105" s="141"/>
      <c r="W105" s="141"/>
      <c r="X105" s="5"/>
      <c r="Y105" s="5"/>
      <c r="Z105" s="141"/>
      <c r="AA105" s="141"/>
      <c r="AB105" s="5"/>
    </row>
    <row r="106" spans="1:28" x14ac:dyDescent="0.2">
      <c r="A106" s="32" t="s">
        <v>52</v>
      </c>
      <c r="B106" s="32" t="s">
        <v>196</v>
      </c>
      <c r="C106" s="32" t="s">
        <v>12</v>
      </c>
      <c r="D106" s="32">
        <v>0.158188808325991</v>
      </c>
      <c r="E106" s="32">
        <v>-0.29185071256577799</v>
      </c>
      <c r="F106" s="32">
        <v>0.15749659353046699</v>
      </c>
      <c r="G106" s="32">
        <v>0.61246117941941303</v>
      </c>
      <c r="H106" s="32">
        <v>0.15758809830446499</v>
      </c>
      <c r="I106" s="32">
        <v>0.22998058369812799</v>
      </c>
      <c r="J106" s="32">
        <v>267.21894972057203</v>
      </c>
      <c r="K106" s="5"/>
      <c r="L106" s="142"/>
      <c r="M106" s="142" t="str">
        <f t="shared" si="12"/>
        <v>Host availability</v>
      </c>
      <c r="N106" s="142">
        <f t="shared" si="13"/>
        <v>14.751479855312807</v>
      </c>
      <c r="O106" s="5"/>
      <c r="P106" s="5"/>
      <c r="Q106" s="5"/>
      <c r="R106" s="5"/>
      <c r="S106" s="5"/>
      <c r="T106" s="141"/>
      <c r="U106" s="141"/>
      <c r="V106" s="141"/>
      <c r="W106" s="141"/>
      <c r="X106" s="5"/>
      <c r="Y106" s="5"/>
      <c r="Z106" s="141"/>
      <c r="AA106" s="141"/>
      <c r="AB106" s="5"/>
    </row>
    <row r="107" spans="1:28" x14ac:dyDescent="0.2">
      <c r="A107" s="32" t="s">
        <v>52</v>
      </c>
      <c r="B107" s="32" t="s">
        <v>196</v>
      </c>
      <c r="C107" s="32" t="s">
        <v>13</v>
      </c>
      <c r="D107" s="32">
        <v>-0.44859340528693398</v>
      </c>
      <c r="E107" s="32">
        <v>-1.0769309281200801</v>
      </c>
      <c r="F107" s="32">
        <v>-0.45176472190641098</v>
      </c>
      <c r="G107" s="32">
        <v>0.19848863173303999</v>
      </c>
      <c r="H107" s="32">
        <v>-0.45153044786074298</v>
      </c>
      <c r="I107" s="32">
        <v>0.32404932223244698</v>
      </c>
      <c r="J107" s="32">
        <v>267.21894972057203</v>
      </c>
      <c r="K107" s="5"/>
      <c r="L107" s="142"/>
      <c r="M107" s="142" t="str">
        <f t="shared" si="12"/>
        <v>Infected vector abundance</v>
      </c>
      <c r="N107" s="142">
        <f t="shared" si="13"/>
        <v>18.591880777187338</v>
      </c>
      <c r="O107" s="5"/>
      <c r="P107" s="5"/>
      <c r="Q107" s="5"/>
      <c r="R107" s="5"/>
      <c r="S107" s="50"/>
      <c r="T107" s="141"/>
      <c r="U107" s="141"/>
      <c r="V107" s="141"/>
      <c r="W107" s="141"/>
      <c r="X107" s="5"/>
      <c r="Y107" s="50"/>
      <c r="Z107" s="141"/>
      <c r="AA107" s="141"/>
      <c r="AB107" s="5"/>
    </row>
    <row r="108" spans="1:28" x14ac:dyDescent="0.2">
      <c r="A108" s="32" t="s">
        <v>52</v>
      </c>
      <c r="B108" s="32" t="s">
        <v>196</v>
      </c>
      <c r="C108" s="32" t="s">
        <v>40</v>
      </c>
      <c r="D108" s="32">
        <v>0.40284372785130301</v>
      </c>
      <c r="E108" s="32">
        <v>0.19585294523133401</v>
      </c>
      <c r="F108" s="32">
        <v>0.40220853283802799</v>
      </c>
      <c r="G108" s="32">
        <v>0.61341083920943495</v>
      </c>
      <c r="H108" s="32">
        <v>0.40219840974068299</v>
      </c>
      <c r="I108" s="32">
        <v>0.106349740839083</v>
      </c>
      <c r="J108" s="32">
        <v>267.21894972057203</v>
      </c>
      <c r="K108" s="5"/>
      <c r="L108" s="142"/>
      <c r="M108" s="142" t="str">
        <f t="shared" si="12"/>
        <v>Mobility</v>
      </c>
      <c r="N108" s="142">
        <f t="shared" si="13"/>
        <v>11.083891358733222</v>
      </c>
      <c r="O108" s="143"/>
      <c r="P108" s="143"/>
      <c r="Q108" s="144"/>
      <c r="R108" s="5"/>
      <c r="S108" s="50"/>
      <c r="T108" s="141"/>
      <c r="U108" s="144"/>
      <c r="V108" s="144"/>
      <c r="W108" s="144"/>
      <c r="X108" s="5"/>
      <c r="Y108" s="5"/>
      <c r="Z108" s="141"/>
      <c r="AA108" s="141"/>
      <c r="AB108" s="5"/>
    </row>
    <row r="109" spans="1:28" x14ac:dyDescent="0.2">
      <c r="A109" s="32" t="s">
        <v>52</v>
      </c>
      <c r="B109" s="32" t="s">
        <v>196</v>
      </c>
      <c r="C109" s="32" t="s">
        <v>14</v>
      </c>
      <c r="D109" s="32">
        <v>-0.229235152637773</v>
      </c>
      <c r="E109" s="32">
        <v>-1.11987372588724</v>
      </c>
      <c r="F109" s="32">
        <v>-0.224782519356335</v>
      </c>
      <c r="G109" s="32">
        <v>0.63606852097135302</v>
      </c>
      <c r="H109" s="32">
        <v>-0.22479579852293</v>
      </c>
      <c r="I109" s="32">
        <v>0.446916650755809</v>
      </c>
      <c r="J109" s="32">
        <v>267.21894972057203</v>
      </c>
      <c r="K109" s="5"/>
      <c r="L109" s="142"/>
      <c r="M109" s="142" t="str">
        <f t="shared" si="12"/>
        <v>Harmonic</v>
      </c>
      <c r="N109" s="142">
        <f t="shared" si="13"/>
        <v>6.6061947721017047</v>
      </c>
      <c r="O109" s="5"/>
      <c r="P109" s="5"/>
      <c r="Q109" s="141"/>
      <c r="R109" s="5"/>
      <c r="S109" s="5"/>
      <c r="T109" s="141"/>
      <c r="U109" s="141"/>
      <c r="V109" s="141"/>
      <c r="W109" s="141"/>
      <c r="X109" s="5"/>
      <c r="Y109" s="5"/>
      <c r="Z109" s="141"/>
      <c r="AA109" s="141"/>
      <c r="AB109" s="5"/>
    </row>
    <row r="110" spans="1:28" x14ac:dyDescent="0.2">
      <c r="A110" s="32" t="s">
        <v>52</v>
      </c>
      <c r="B110" s="32" t="s">
        <v>196</v>
      </c>
      <c r="C110" s="32" t="s">
        <v>45</v>
      </c>
      <c r="D110" s="32">
        <v>8.2298491610009895E-3</v>
      </c>
      <c r="E110" s="32">
        <v>-0.18212142324486599</v>
      </c>
      <c r="F110" s="32">
        <v>8.1852709225171995E-3</v>
      </c>
      <c r="G110" s="32">
        <v>0.19886255805543199</v>
      </c>
      <c r="H110" s="32">
        <v>8.1948699640303994E-3</v>
      </c>
      <c r="I110" s="32">
        <v>9.7015152090435097E-2</v>
      </c>
      <c r="J110" s="32">
        <v>267.21894972057203</v>
      </c>
      <c r="K110" s="5"/>
      <c r="L110" s="142"/>
      <c r="M110" s="142" t="str">
        <f t="shared" si="12"/>
        <v>iva:harmonic</v>
      </c>
      <c r="N110" s="142">
        <f t="shared" si="13"/>
        <v>16.150489748976057</v>
      </c>
      <c r="O110" s="5"/>
      <c r="P110" s="5"/>
      <c r="Q110" s="145"/>
      <c r="R110" s="5"/>
      <c r="S110" s="5"/>
      <c r="T110" s="141"/>
      <c r="U110" s="141"/>
      <c r="V110" s="141"/>
      <c r="W110" s="145"/>
      <c r="X110" s="5"/>
      <c r="Y110" s="5"/>
      <c r="Z110" s="147"/>
      <c r="AA110" s="141"/>
      <c r="AB110" s="5"/>
    </row>
    <row r="111" spans="1:28" x14ac:dyDescent="0.2">
      <c r="A111" s="32" t="s">
        <v>52</v>
      </c>
      <c r="B111" s="32" t="s">
        <v>196</v>
      </c>
      <c r="C111" s="32" t="s">
        <v>19</v>
      </c>
      <c r="D111" s="32">
        <v>348.49682048656501</v>
      </c>
      <c r="E111" s="32">
        <v>86.582830220220401</v>
      </c>
      <c r="F111" s="32">
        <v>282.47937785478399</v>
      </c>
      <c r="G111" s="32">
        <v>1008.55757484807</v>
      </c>
      <c r="H111" s="32">
        <v>190.747112495132</v>
      </c>
      <c r="I111" s="32">
        <v>249.05867493001901</v>
      </c>
      <c r="J111" s="32">
        <v>267.21894972057203</v>
      </c>
      <c r="K111" s="5"/>
      <c r="L111" s="142"/>
      <c r="M111" s="50" t="s">
        <v>201</v>
      </c>
      <c r="N111" s="50" t="s">
        <v>203</v>
      </c>
      <c r="O111" s="5"/>
      <c r="P111" s="5"/>
      <c r="Q111" s="5"/>
      <c r="R111" s="5"/>
      <c r="S111" s="5"/>
      <c r="T111" s="5"/>
      <c r="U111" s="5"/>
      <c r="V111" s="5"/>
      <c r="W111" s="5"/>
      <c r="X111" s="5"/>
      <c r="Y111" s="5"/>
      <c r="Z111" s="147"/>
      <c r="AA111" s="141"/>
      <c r="AB111" s="5"/>
    </row>
    <row r="112" spans="1:28" x14ac:dyDescent="0.2">
      <c r="A112" s="32" t="s">
        <v>52</v>
      </c>
      <c r="B112" s="32" t="s">
        <v>196</v>
      </c>
      <c r="C112" s="32" t="s">
        <v>20</v>
      </c>
      <c r="D112" s="32">
        <v>2.0396675831723599</v>
      </c>
      <c r="E112" s="32">
        <v>0.68495996932746706</v>
      </c>
      <c r="F112" s="32">
        <v>1.84583857283584</v>
      </c>
      <c r="G112" s="32">
        <v>4.5103226834127801</v>
      </c>
      <c r="H112" s="32">
        <v>1.49074011245021</v>
      </c>
      <c r="I112" s="32">
        <v>0.997113894073266</v>
      </c>
      <c r="J112" s="32">
        <v>267.21894972057203</v>
      </c>
      <c r="K112" s="5"/>
      <c r="L112" s="142"/>
      <c r="M112" s="50" t="s">
        <v>53</v>
      </c>
      <c r="N112" s="50" t="str">
        <f>CONCATENATE(ROUND((J93-J94)/J93*100,1), "%")</f>
        <v>2.1%</v>
      </c>
      <c r="O112" s="5"/>
      <c r="P112" s="5"/>
      <c r="Q112" s="5"/>
      <c r="R112" s="5"/>
      <c r="S112" s="5"/>
      <c r="T112" s="5"/>
      <c r="U112" s="5"/>
      <c r="V112" s="5"/>
      <c r="W112" s="5"/>
      <c r="X112" s="5"/>
      <c r="Y112" s="5"/>
      <c r="Z112" s="5"/>
      <c r="AA112" s="5"/>
      <c r="AB112" s="5"/>
    </row>
    <row r="117" spans="19:19" x14ac:dyDescent="0.2">
      <c r="S117" s="140"/>
    </row>
  </sheetData>
  <pageMargins left="0.7" right="0.7" top="0.75" bottom="0.75" header="0.3" footer="0.3"/>
  <drawing r:id="rId1"/>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(0) Table Variables</vt:lpstr>
      <vt:lpstr>table_summary_allmodels</vt:lpstr>
      <vt:lpstr>(1) Table - Interactions</vt:lpstr>
      <vt:lpstr>(2) Table Supp - Logodds</vt:lpstr>
      <vt:lpstr>(3) Table Supp - Odds</vt:lpstr>
      <vt:lpstr>Posterior uncertainty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Tseng, Katie Kailing</cp:lastModifiedBy>
  <dcterms:created xsi:type="dcterms:W3CDTF">2025-09-30T17:12:41Z</dcterms:created>
  <dcterms:modified xsi:type="dcterms:W3CDTF">2026-03-02T21:08:42Z</dcterms:modified>
</cp:coreProperties>
</file>